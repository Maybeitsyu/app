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832AC5D6-BBEE-4CA4-BBE8-677869015319}" xr6:coauthVersionLast="47" xr6:coauthVersionMax="47" xr10:uidLastSave="{00000000-0000-0000-0000-000000000000}"/>
  <bookViews>
    <workbookView xWindow="-108" yWindow="-108" windowWidth="23256" windowHeight="12456" firstSheet="3" activeTab="4" xr2:uid="{00000000-000D-0000-FFFF-FFFF00000000}"/>
  </bookViews>
  <sheets>
    <sheet name="FINANCIAL STATEMENT" sheetId="1" r:id="rId1"/>
    <sheet name="SALES 2026" sheetId="2" r:id="rId2"/>
    <sheet name="SALES APRIL 2026" sheetId="13" r:id="rId3"/>
    <sheet name="MARCH SALES" sheetId="12" r:id="rId4"/>
    <sheet name="SALES FEB 2026" sheetId="11" r:id="rId5"/>
    <sheet name="SALES JAN 2026" sheetId="10" r:id="rId6"/>
    <sheet name="PURCHASES  2026" sheetId="3" r:id="rId7"/>
    <sheet name="PURCHASES APRIL 2026" sheetId="9" r:id="rId8"/>
    <sheet name="PURCHASES MARCH 2026" sheetId="8" r:id="rId9"/>
    <sheet name="PURCHASES FEB 2026" sheetId="7" r:id="rId10"/>
    <sheet name="PURCHASES JAN 2026" sheetId="6" r:id="rId11"/>
    <sheet name="INVENTORY APRIL 30 2026" sheetId="4" r:id="rId12"/>
    <sheet name="CUSTOMERS" sheetId="5" r:id="rId13"/>
  </sheets>
  <definedNames>
    <definedName name="_xlnm._FilterDatabase" localSheetId="11" hidden="1">'INVENTORY APRIL 30 2026'!$A$1:$M$83</definedName>
    <definedName name="_xlnm._FilterDatabase" localSheetId="3" hidden="1">'MARCH SALES'!$G$1:$G$178</definedName>
    <definedName name="_xlnm._FilterDatabase" localSheetId="6" hidden="1">'PURCHASES  2026'!$A$1:$L$229</definedName>
    <definedName name="_xlnm._FilterDatabase" localSheetId="7" hidden="1">'PURCHASES APRIL 2026'!$A$1:$L$43</definedName>
    <definedName name="_xlnm._FilterDatabase" localSheetId="9" hidden="1">'PURCHASES FEB 2026'!$A$1:$L$53</definedName>
    <definedName name="_xlnm._FilterDatabase" localSheetId="10" hidden="1">'PURCHASES JAN 2026'!$A$1:$L$76</definedName>
    <definedName name="_xlnm._FilterDatabase" localSheetId="8" hidden="1">'PURCHASES MARCH 2026'!$A$1:$L$60</definedName>
    <definedName name="_xlnm._FilterDatabase" localSheetId="1" hidden="1">'SALES 2026'!$A$1:$AA$743</definedName>
    <definedName name="_xlnm._FilterDatabase" localSheetId="4" hidden="1">'SALES FEB 2026'!$G$1:$G$188</definedName>
    <definedName name="_xlnm._FilterDatabase" localSheetId="5" hidden="1">'SALES JAN 2026'!$A$1:$AA$187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42" i="1" l="1"/>
  <c r="Q41" i="1"/>
  <c r="Q44" i="1" s="1"/>
  <c r="P202" i="13"/>
  <c r="N202" i="13"/>
  <c r="L202" i="13"/>
  <c r="B67" i="1"/>
  <c r="B66" i="1"/>
  <c r="Q63" i="1"/>
  <c r="G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L42" i="1"/>
  <c r="G42" i="1"/>
  <c r="B42" i="1"/>
  <c r="L41" i="1"/>
  <c r="L44" i="1" s="1"/>
  <c r="L65" i="1" s="1"/>
  <c r="L68" i="1" s="1"/>
  <c r="G41" i="1"/>
  <c r="G44" i="1" s="1"/>
  <c r="B30" i="1"/>
  <c r="B29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10" i="1"/>
  <c r="G5" i="1"/>
  <c r="G4" i="1"/>
  <c r="P178" i="12"/>
  <c r="N178" i="12"/>
  <c r="L178" i="12"/>
  <c r="L5" i="1"/>
  <c r="P188" i="11"/>
  <c r="N188" i="11"/>
  <c r="L188" i="11"/>
  <c r="L4" i="1" s="1"/>
  <c r="L7" i="1" s="1"/>
  <c r="Q26" i="1"/>
  <c r="L26" i="1"/>
  <c r="G26" i="1"/>
  <c r="N186" i="10"/>
  <c r="I62" i="6"/>
  <c r="J62" i="6" s="1"/>
  <c r="I61" i="6"/>
  <c r="J61" i="6" s="1"/>
  <c r="G7" i="1" l="1"/>
  <c r="Q65" i="1"/>
  <c r="Q68" i="1" s="1"/>
  <c r="Q69" i="1" s="1"/>
  <c r="Q70" i="1" s="1"/>
  <c r="B63" i="1"/>
  <c r="G65" i="1"/>
  <c r="G68" i="1" s="1"/>
  <c r="G69" i="1" s="1"/>
  <c r="G70" i="1" s="1"/>
  <c r="L69" i="1"/>
  <c r="L70" i="1"/>
  <c r="B41" i="1"/>
  <c r="B44" i="1" s="1"/>
  <c r="G28" i="1"/>
  <c r="G31" i="1" s="1"/>
  <c r="G32" i="1" s="1"/>
  <c r="G33" i="1" s="1"/>
  <c r="L28" i="1"/>
  <c r="P183" i="10"/>
  <c r="Q183" i="10" s="1"/>
  <c r="L183" i="10"/>
  <c r="M183" i="10" s="1"/>
  <c r="P182" i="10"/>
  <c r="P186" i="10" s="1"/>
  <c r="Q5" i="1" s="1"/>
  <c r="B5" i="1" s="1"/>
  <c r="K182" i="10"/>
  <c r="L182" i="10" s="1"/>
  <c r="B26" i="1"/>
  <c r="L31" i="1" l="1"/>
  <c r="L32" i="1" s="1"/>
  <c r="M182" i="10"/>
  <c r="L186" i="10"/>
  <c r="B65" i="1"/>
  <c r="B68" i="1" s="1"/>
  <c r="B69" i="1" s="1"/>
  <c r="B70" i="1" s="1"/>
  <c r="Q182" i="10"/>
  <c r="L33" i="1" l="1"/>
  <c r="J187" i="10"/>
  <c r="Q4" i="1"/>
  <c r="Q7" i="1" l="1"/>
  <c r="Q28" i="1" s="1"/>
  <c r="Q31" i="1" s="1"/>
  <c r="Q32" i="1" s="1"/>
  <c r="Q33" i="1" s="1"/>
  <c r="B4" i="1"/>
  <c r="B7" i="1" s="1"/>
  <c r="B28" i="1" s="1"/>
  <c r="B31" i="1" s="1"/>
  <c r="B32" i="1" s="1"/>
  <c r="B33" i="1" s="1"/>
</calcChain>
</file>

<file path=xl/sharedStrings.xml><?xml version="1.0" encoding="utf-8"?>
<sst xmlns="http://schemas.openxmlformats.org/spreadsheetml/2006/main" count="6868" uniqueCount="1307">
  <si>
    <t>FINANCIAL STATEMENT</t>
  </si>
  <si>
    <t>Sales</t>
  </si>
  <si>
    <t>Less: Cost of Goods Sold</t>
  </si>
  <si>
    <t>Gross Profit</t>
  </si>
  <si>
    <t>Less: Operating Expenses</t>
  </si>
  <si>
    <t>Communication, Light and Water</t>
  </si>
  <si>
    <t>Fuel &amp; Oil</t>
  </si>
  <si>
    <t>Repairs &amp; Maintenance</t>
  </si>
  <si>
    <t>Miscellaneous</t>
  </si>
  <si>
    <t>Professional Fees</t>
  </si>
  <si>
    <t>Delivery Charge &amp; Fee's</t>
  </si>
  <si>
    <t>Transportation and Travel</t>
  </si>
  <si>
    <t>Representation</t>
  </si>
  <si>
    <t>Insurance</t>
  </si>
  <si>
    <t>Office Supplies</t>
  </si>
  <si>
    <t>Salaries</t>
  </si>
  <si>
    <t>Permit &amp; License</t>
  </si>
  <si>
    <t>Fee's &amp; Charges</t>
  </si>
  <si>
    <t>Customs &amp; Brokerage Fee's</t>
  </si>
  <si>
    <t>Installation &amp; Services</t>
  </si>
  <si>
    <t>Loss &amp; Damage Goods</t>
  </si>
  <si>
    <t>Total</t>
  </si>
  <si>
    <t>NET operating income</t>
  </si>
  <si>
    <t>Less: Loss on Foreign currency transaction</t>
  </si>
  <si>
    <t>Net Income Before Tax</t>
  </si>
  <si>
    <t>Net Income</t>
  </si>
  <si>
    <t>DATE</t>
  </si>
  <si>
    <t>RECEIPT #</t>
  </si>
  <si>
    <t>TAX IDENTIFICATION NUMBER</t>
  </si>
  <si>
    <t>SI NO.</t>
  </si>
  <si>
    <t>CUSTOMER</t>
  </si>
  <si>
    <t>ADDRESS</t>
  </si>
  <si>
    <t>PRODUCT</t>
  </si>
  <si>
    <t>QTY</t>
  </si>
  <si>
    <t>UNIT</t>
  </si>
  <si>
    <t>UNIT PRICE</t>
  </si>
  <si>
    <t>GROSS AMOUNT</t>
  </si>
  <si>
    <t>INPUT VAT</t>
  </si>
  <si>
    <t>OUTPUT VAT</t>
  </si>
  <si>
    <t xml:space="preserve">VAT EXEMPT SALES </t>
  </si>
  <si>
    <t>COSTING</t>
  </si>
  <si>
    <t>TOTAL COST</t>
  </si>
  <si>
    <t>PROFIT</t>
  </si>
  <si>
    <t>STATUS</t>
  </si>
  <si>
    <t>REMARKS</t>
  </si>
  <si>
    <t>PO #</t>
  </si>
  <si>
    <t>CONTACT #</t>
  </si>
  <si>
    <t>INVOICE</t>
  </si>
  <si>
    <t>USERNAME</t>
  </si>
  <si>
    <t>PICTURE</t>
  </si>
  <si>
    <t>ROBERT AMOROSO</t>
  </si>
  <si>
    <t>A/R</t>
  </si>
  <si>
    <t>PAID</t>
  </si>
  <si>
    <t>PULSATOR FOR GOATS</t>
  </si>
  <si>
    <t>COMPANY</t>
  </si>
  <si>
    <t>TIN</t>
  </si>
  <si>
    <t>SUPPLIER</t>
  </si>
  <si>
    <t>CATEGORY</t>
  </si>
  <si>
    <t>NET OF VAT</t>
  </si>
  <si>
    <t>IS VAT EXEMPT</t>
  </si>
  <si>
    <t>CODE</t>
  </si>
  <si>
    <t>NAME</t>
  </si>
  <si>
    <t>COST</t>
  </si>
  <si>
    <t>SRP</t>
  </si>
  <si>
    <t>STOCK</t>
  </si>
  <si>
    <t>TOTAL VALUE</t>
  </si>
  <si>
    <t>REORDER POINT</t>
  </si>
  <si>
    <t>SACK WEIGHT (KG)</t>
  </si>
  <si>
    <t>LABOR COST</t>
  </si>
  <si>
    <t>PACKAGING COST</t>
  </si>
  <si>
    <t>ADDRESS 2</t>
  </si>
  <si>
    <t>SHOPEE</t>
  </si>
  <si>
    <t>JAMES RIX</t>
  </si>
  <si>
    <t>BIOCATALIN</t>
  </si>
  <si>
    <t>BOT</t>
  </si>
  <si>
    <t>TEOFILO RAMIREZ</t>
  </si>
  <si>
    <t>DAIRY SOLUTIONS</t>
  </si>
  <si>
    <t>KG</t>
  </si>
  <si>
    <t>jojoramirez138</t>
  </si>
  <si>
    <t>National Road,Poblacion East, Lamut,Ifugao, Poblacion East, Lamut, North Luzon, Ifugao, 3605</t>
  </si>
  <si>
    <t>₱ -</t>
  </si>
  <si>
    <t>JERSON CAMIGING</t>
  </si>
  <si>
    <t>jamesdagumay</t>
  </si>
  <si>
    <t>Gasoline Station, Cadong, Caramoan, South Luzon, Camarines Sur, 1111</t>
  </si>
  <si>
    <t>APRIL YABUT</t>
  </si>
  <si>
    <t>LONG LINER</t>
  </si>
  <si>
    <t>SET</t>
  </si>
  <si>
    <t>aprillopez582</t>
  </si>
  <si>
    <t>Yohan printing services, Balibago I, Tarlac City, North Luzon, Tarlac, 2300</t>
  </si>
  <si>
    <t>LALAMOVE</t>
  </si>
  <si>
    <t>EMAR CUSTODIO</t>
  </si>
  <si>
    <t>BAGS</t>
  </si>
  <si>
    <t>SANDRA CABILES</t>
  </si>
  <si>
    <t>saaaandra</t>
  </si>
  <si>
    <t>Sitio Puro, Bryan Nunez Residence or Pasto gate 1 infront of casabangan PNP Camp, Casabangan, Pio V. Corpuz, South Luzon, Masbate, 5406</t>
  </si>
  <si>
    <t>HONEYLYN REAMBILLO</t>
  </si>
  <si>
    <t>honeylynalva</t>
  </si>
  <si>
    <t>Purok 6, Ilaya, Ilaya, Plaridel, South Luzon, Quezon, 4306</t>
  </si>
  <si>
    <t>R 171</t>
  </si>
  <si>
    <t>JHON ALFRED PRADO</t>
  </si>
  <si>
    <t>BAG</t>
  </si>
  <si>
    <t>pmae59tord</t>
  </si>
  <si>
    <t>Sitio Namooran Zone 3, Magsaysay, Magsaysay, Alaminos City, North Luzon, Pangasinan, 2404</t>
  </si>
  <si>
    <t>MARK JOHN LADORES</t>
  </si>
  <si>
    <t>mjladores24</t>
  </si>
  <si>
    <t>16 Poblacion Rd, D. L. Maglanoc Pob. (Bgy.iii), Carranglan, North Luzon, Nueva Ecija, 3123</t>
  </si>
  <si>
    <t>CONS</t>
  </si>
  <si>
    <t>DUFAFOSFAN</t>
  </si>
  <si>
    <t>consmaderazo</t>
  </si>
  <si>
    <t>Maderazo Farm, kangkaibe, cebu, Kangkaibe, Bantayan, Visayas, Cebu, 6052</t>
  </si>
  <si>
    <t>MACISTE YOUNG</t>
  </si>
  <si>
    <t>DUFAPROFEN</t>
  </si>
  <si>
    <t>macisteyoung</t>
  </si>
  <si>
    <t>Precious Pet Animal Clinic 402-C3 Tandang Sora Ave, Brgy culiat, QC. In front of Prosperity Hts condo, Culiat, Quezon City, Metro Manila, Metro Manila, 1128</t>
  </si>
  <si>
    <t>NIEZA JUMAWAN</t>
  </si>
  <si>
    <t>niezamaejumawan</t>
  </si>
  <si>
    <t>Purok, Mariposa, Cabalantian, Cabalantian, Manticao, Mindanao, Misamis Oriental, 9024</t>
  </si>
  <si>
    <t>MHEO ESGUERRA</t>
  </si>
  <si>
    <t>ERNEST HERNAEZ</t>
  </si>
  <si>
    <t>aoiashita</t>
  </si>
  <si>
    <t>Dulo ng Brgy Lubong, Hernaez Residence, yung may kaimito tree sa tabi ng road,, Lubong, Santa Lucia, North Luzon, Ilocos Sur, 2712</t>
  </si>
  <si>
    <t>VIRGINIA PERTOS</t>
  </si>
  <si>
    <t>TOCO SELENIO</t>
  </si>
  <si>
    <t>vdpertos</t>
  </si>
  <si>
    <t>Purok 6 dacudao calinan davao city, Dacudao, Davao City, Mindanao, Davao Del Sur, 8018</t>
  </si>
  <si>
    <t>CHARISSE NANO</t>
  </si>
  <si>
    <t>charissenano</t>
  </si>
  <si>
    <t>Fr. Campeon Street, Pag-Asa (Pob.), Pag-Asa (Pob.), Dumalinao, Mindanao, Zamboanga Del Sur, 7015</t>
  </si>
  <si>
    <t>ALFRED KIM JACINTO</t>
  </si>
  <si>
    <t>SHORT VACUUM TUBE</t>
  </si>
  <si>
    <t>PCS</t>
  </si>
  <si>
    <t>alfredjacinto</t>
  </si>
  <si>
    <t>Santa Rosa N.E, Valenzuela (Pob.), Santa Rosa, North Luzon, Nueva Ecija, 3101</t>
  </si>
  <si>
    <t>JENNY JARAPAN</t>
  </si>
  <si>
    <t>kissa1218</t>
  </si>
  <si>
    <t>Purok indian tree maño san remigio cebu, Mano, San Remigio, Visayas, Cebu, 6011</t>
  </si>
  <si>
    <t>SI 0198</t>
  </si>
  <si>
    <t>AGRI-JOY DAIRY AND AGRIVENTURES INC</t>
  </si>
  <si>
    <t>DELIVERED</t>
  </si>
  <si>
    <t>TEAT DIP CUP</t>
  </si>
  <si>
    <t>JEROLD CAHUMNAS</t>
  </si>
  <si>
    <t>regietaruc</t>
  </si>
  <si>
    <t>Purok Pulling Maligaya, San Isidro Dulo Sa Nag kakambing, San Isidro, San Luis, North Luzon, Pampanga, 2014</t>
  </si>
  <si>
    <t>VICTORY</t>
  </si>
  <si>
    <t>DENNIS HUNG</t>
  </si>
  <si>
    <t>R 168</t>
  </si>
  <si>
    <t>SSG DAIRY FARM</t>
  </si>
  <si>
    <t>WALK INN</t>
  </si>
  <si>
    <t>MILK HOSE</t>
  </si>
  <si>
    <t>M</t>
  </si>
  <si>
    <t>SHORT LINER</t>
  </si>
  <si>
    <t>PWESTO C/O OIC</t>
  </si>
  <si>
    <t>DUFAFUR</t>
  </si>
  <si>
    <t>rayallen8620</t>
  </si>
  <si>
    <t>Clariza Farm and Agricultural Supply, PCAPI Bldg, Poblacion East, Rosario, La Union, Poblacion East, Rosario, North Luzon, La Union, 2506</t>
  </si>
  <si>
    <t>REA JOY G.DUPLON</t>
  </si>
  <si>
    <t>reajoyduplon</t>
  </si>
  <si>
    <t>Purok 4,Brgy.Sto Nino,Cabangan, Zambales, Santo Nino, Cabangan, North Luzon, Zambales, 2203</t>
  </si>
  <si>
    <t>LORDIEL F. FADERAGAO</t>
  </si>
  <si>
    <t>lordielfaderagao</t>
  </si>
  <si>
    <t>#246 Proper, Poctoy, Odiongan, Romblon, 5505, Poctoy, Odiongan, South Luzon, Romblon, 5505</t>
  </si>
  <si>
    <t>CRISTINA BONDOC</t>
  </si>
  <si>
    <t>cristinamangulabnan230</t>
  </si>
  <si>
    <t>Purok 01, Ulanin-Pitak, Ulanin-Pitak, Jaen, North Luzon, Nueva Ecija, 3109</t>
  </si>
  <si>
    <t>REY SANTIAGO</t>
  </si>
  <si>
    <t>reysantiago08</t>
  </si>
  <si>
    <t>Bukid ni Pilo- Santiago Farm, Luna, Cuyapo, North Luzon, Nueva Ecija, 3117</t>
  </si>
  <si>
    <t>LEANOR LANDICHO</t>
  </si>
  <si>
    <t>leansaisla</t>
  </si>
  <si>
    <t>Unit 9, Filipiniana Complex, Roxas Drive, Santo Nino, Calapan City, South Luzon, Oriental Mindoro, 5200</t>
  </si>
  <si>
    <t>ALDRIN JOSH S. BLANCA</t>
  </si>
  <si>
    <t>aldrinjoshblanca</t>
  </si>
  <si>
    <t>Sitio Banlic, Sampaloc, Tanay, South Luzon, Rizal, 1980</t>
  </si>
  <si>
    <t>YLIEJAH BIGCAS</t>
  </si>
  <si>
    <t>yliejahbigcas</t>
  </si>
  <si>
    <t>Purok 3, Baliw Bahay Na May Malaking Aso, Baliw, Hilongos, Visayas, Leyte, 6524</t>
  </si>
  <si>
    <t>RUDING TARUC/ ERNING DIZON</t>
  </si>
  <si>
    <t>R 0169</t>
  </si>
  <si>
    <t>DLC DAIRY FARM</t>
  </si>
  <si>
    <t>SI 201</t>
  </si>
  <si>
    <t>FRESNO FARM</t>
  </si>
  <si>
    <t>GEN TRIAS CAVITE</t>
  </si>
  <si>
    <t>SHIPPING FEE</t>
  </si>
  <si>
    <t>LOT</t>
  </si>
  <si>
    <t>SI 203</t>
  </si>
  <si>
    <t>PINOY DAIRY CORPORATION</t>
  </si>
  <si>
    <t>PDC FARMS MOTRICO LA PAZ TARLAC</t>
  </si>
  <si>
    <t>ALKA PLUS</t>
  </si>
  <si>
    <t>GL</t>
  </si>
  <si>
    <t>-</t>
  </si>
  <si>
    <t>RENZO DANIEL DELA CRUZ</t>
  </si>
  <si>
    <t>renzodaniel15</t>
  </si>
  <si>
    <t>Block 4 Lot 7 Sampaguita Street Grand Royale Subdivision, Bulihan, Malolos City, North Luzon, Bulacan, 3000</t>
  </si>
  <si>
    <t>FELINO OLIVER APOR</t>
  </si>
  <si>
    <t>felinooliverapor</t>
  </si>
  <si>
    <t>HNZ Lumbia Goat Farm, Sitio Baluarte, right turn after Mia Torralba store (newly cemented road), Lumbia, Cagayan De Oro City, Mindanao, Misamis Oriental, 9000</t>
  </si>
  <si>
    <t>JORMALYN CANTIL</t>
  </si>
  <si>
    <t>jormalyncantil</t>
  </si>
  <si>
    <t>Logistic Information</t>
  </si>
  <si>
    <t>GARRY DELA TORRE</t>
  </si>
  <si>
    <t>NEIL EARL AMDIBA</t>
  </si>
  <si>
    <t>neilearllaguimonambida</t>
  </si>
  <si>
    <t>Zone 1, Mabuno, Gattaran, North Luzon, Cagayan, 3508</t>
  </si>
  <si>
    <t>ADRIAN B. GARZON</t>
  </si>
  <si>
    <t>kG</t>
  </si>
  <si>
    <t>adrian_garzon16</t>
  </si>
  <si>
    <t>BAROTUAN , Purok -B , Garzon store, Barotuan, El Nido, South Luzon, Palawan, 5313</t>
  </si>
  <si>
    <t>MATATAG CARGO</t>
  </si>
  <si>
    <t>NIECA CABAHUG</t>
  </si>
  <si>
    <t>SI 0204</t>
  </si>
  <si>
    <t>SIDC</t>
  </si>
  <si>
    <t>MARGARET MARINO</t>
  </si>
  <si>
    <t>meggymarino</t>
  </si>
  <si>
    <t>VETCO PET CENTER, Maharlika highway, Talisay (2ND FLOOR ALFAMART), Talisay, Tiaong, South Luzon, Quezon, 4325</t>
  </si>
  <si>
    <t>JAMAICA PERUNA BAUTISTA</t>
  </si>
  <si>
    <t>gelocortez26</t>
  </si>
  <si>
    <t>Mc Arthur Highway, Sinabaan Bantay Ilocos Sur, infront of Satrap Construction Incorporation, Sinabaan, Bantay, North Luzon, Ilocos Sur, 2727</t>
  </si>
  <si>
    <t>R 170</t>
  </si>
  <si>
    <t>HBR GOAT FARM</t>
  </si>
  <si>
    <t>KANAPEN</t>
  </si>
  <si>
    <t>BOX</t>
  </si>
  <si>
    <t>SI 205</t>
  </si>
  <si>
    <t>KANLUNGAN DAIRY FARM</t>
  </si>
  <si>
    <t>R 172</t>
  </si>
  <si>
    <t>DANNY MAGPANTAY</t>
  </si>
  <si>
    <t>RUFINO VALENCIA</t>
  </si>
  <si>
    <t>SI 0206</t>
  </si>
  <si>
    <t>UNAHCO</t>
  </si>
  <si>
    <t>JANINE A. BAUN</t>
  </si>
  <si>
    <t>eustacevince</t>
  </si>
  <si>
    <t>PUROK Saranay( tabi ng sagrada familia) , BRGY. VILLA AGLIPAY, SAN JOSE TARLAC, Villa Aglipay, San Jose, North Luzon, Tarlac, 2318</t>
  </si>
  <si>
    <t>R 0173</t>
  </si>
  <si>
    <t>ROEL LATAGAN</t>
  </si>
  <si>
    <t>MAURIN PESPES</t>
  </si>
  <si>
    <t>BOTS</t>
  </si>
  <si>
    <t>maurin_8</t>
  </si>
  <si>
    <t>Guimod, Bantay, Ilocos Sur Near Northside, Guimod, Bantay, North Luzon, Ilocos Sur, 2727</t>
  </si>
  <si>
    <t>JEZRIEL BAGARES</t>
  </si>
  <si>
    <t>jezreilruzbagares</t>
  </si>
  <si>
    <t>Zone 5, Estrella, Rizal, North Luzon, Nueva Ecija, 3127</t>
  </si>
  <si>
    <t>ALLAN R. DELA CRUZ</t>
  </si>
  <si>
    <t>flashkenji</t>
  </si>
  <si>
    <t>#91 purok 2, Concepcion, Mexico, North Luzon, Pampanga, 2021</t>
  </si>
  <si>
    <t>LEEE V. GUEVARA</t>
  </si>
  <si>
    <t>leeboy17</t>
  </si>
  <si>
    <t>Palacios Memorial Road, Carit an(In front have dryer), Carit-an, Culasi, Visayas, Antique, 5708</t>
  </si>
  <si>
    <t>GIRLIE BAYANG ELEGANO</t>
  </si>
  <si>
    <t>girliecalizarbayangelega</t>
  </si>
  <si>
    <t>Purok 1 liko sa kurbada sa little boss garage may gate nga itom mag mangga sa atubang., Tubiala, Surallah, Mindanao, South Cotabato, 9512</t>
  </si>
  <si>
    <t>GILBERT LAROZA</t>
  </si>
  <si>
    <t>C</t>
  </si>
  <si>
    <t>KINN JOVANNI MALLORCA</t>
  </si>
  <si>
    <t>kinnjovannimallorca</t>
  </si>
  <si>
    <t>Cadinglian Basketball Court, Cadinglian, Cadinglian, Oton, Visayas, Iloilo, 5020</t>
  </si>
  <si>
    <t>DAN BARROS- GARGAR</t>
  </si>
  <si>
    <t>CLOXABEN</t>
  </si>
  <si>
    <t>dangargar</t>
  </si>
  <si>
    <t>L and D Dairy Farm, Sitio Migbanday, Poblacion, Claveria, Mindanao, Misamis Oriental, 9004</t>
  </si>
  <si>
    <t>DHIANNA LYXEN LOUISE ABELLANOSA</t>
  </si>
  <si>
    <t>FEEDING BOTTLE FOR CALF</t>
  </si>
  <si>
    <t>abellanosadairy</t>
  </si>
  <si>
    <t>Abellanosa Dairy Farm, Purok 2, San Francisco, San Francisco, Don Carlos, Mindanao, Bukidnon, 8712</t>
  </si>
  <si>
    <t>KURT CHENG</t>
  </si>
  <si>
    <t>rakdos</t>
  </si>
  <si>
    <t>Villa Charisse, Banaoang East, Moncada, North Luzon, Tarlac, 2308</t>
  </si>
  <si>
    <t>SOPHIE LEE OMAWENG</t>
  </si>
  <si>
    <t>sophieleeticni</t>
  </si>
  <si>
    <t>A 072 palmaville KATRANS MARKETING, Puguis, La Trinidad, North Luzon, Benguet, 2601</t>
  </si>
  <si>
    <t>PC</t>
  </si>
  <si>
    <t>JAYSON MATEO</t>
  </si>
  <si>
    <t>jaysonmateo444</t>
  </si>
  <si>
    <t>0071 National Road, Cay Pombo, Cay Pombo, Santa Maria, North Luzon, Bulacan, 3022</t>
  </si>
  <si>
    <t>MARIE JOY ESCOTE</t>
  </si>
  <si>
    <t>marie004_joy067</t>
  </si>
  <si>
    <t>005 Brgy. Lopez Vito, San Joaquin, Iloilo, Lopez Vito, San Joaquin, Visayas, Iloilo, 5024</t>
  </si>
  <si>
    <t>SI 200</t>
  </si>
  <si>
    <t>TIERRA DEL SUR FARMS</t>
  </si>
  <si>
    <t>DELIVERED - THRU LALAMOVE</t>
  </si>
  <si>
    <t>LANCE RAINIER YU</t>
  </si>
  <si>
    <t>rainieryu</t>
  </si>
  <si>
    <t>110 Utap Diversion Road, Leyte Home Depot, Tacloban City, Barangay 110 (Utap), Tacloban City, Visayas, Leyte, 6500</t>
  </si>
  <si>
    <t>JAYSON H DEMESA</t>
  </si>
  <si>
    <t>f40mzz8w7d</t>
  </si>
  <si>
    <t>Sitio maligaya brgy. ilayang kinagunan Agdangan, Quezon, Ilayang Kinagunan, Agdangan, South Luzon, Quezon, 4304</t>
  </si>
  <si>
    <t>TATA'S AGRI</t>
  </si>
  <si>
    <t>GLENN FABROS</t>
  </si>
  <si>
    <t>glennfabros658</t>
  </si>
  <si>
    <t>Fabros Street, Purok 2, Victoria, Victoria, Llanera, North Luzon, Nueva Ecija, 3126</t>
  </si>
  <si>
    <t>LANCE BAZAR</t>
  </si>
  <si>
    <t>240-265-006-000</t>
  </si>
  <si>
    <t>SI 0208</t>
  </si>
  <si>
    <t>CATMON MPC</t>
  </si>
  <si>
    <t>LEAH BAUTISTA</t>
  </si>
  <si>
    <t>MULATO</t>
  </si>
  <si>
    <t>TPEN</t>
  </si>
  <si>
    <t>alibata_abakada</t>
  </si>
  <si>
    <t>Tubang Plaza, Mina, Mina, Leon, Visayas, Iloilo, 5026</t>
  </si>
  <si>
    <t>ROY CANILLO MACAPOBRE</t>
  </si>
  <si>
    <t>roymaca</t>
  </si>
  <si>
    <t>Landmark: Near The Ranch Resort (Sitio Asinan), Bato, Toledo City, Visayas, Cebu, 6038</t>
  </si>
  <si>
    <t>RICARDO GAY-YA</t>
  </si>
  <si>
    <t>tuaocagayanbreeder</t>
  </si>
  <si>
    <t>Purok 03, Malalinta, Malalinta, Tuao, North Luzon, Cagayan, 3528</t>
  </si>
  <si>
    <t>3M CAVITE TRADING</t>
  </si>
  <si>
    <t>LORENZ BUERON</t>
  </si>
  <si>
    <t>lorenz16</t>
  </si>
  <si>
    <t>Brgy damires janiuay iloilo, Damires, Janiuay, Visayas, Iloilo, 5034</t>
  </si>
  <si>
    <t>SHOPEE- SI 0209</t>
  </si>
  <si>
    <t>RANCHO ESPERANZA LTD. CO</t>
  </si>
  <si>
    <t>PC/500GRAMS</t>
  </si>
  <si>
    <t>ELYZA JADE GERONA</t>
  </si>
  <si>
    <t>elyzajadedalongenesgerona</t>
  </si>
  <si>
    <t>Gerona Enterprises office, Tambo highway, Hinaplanon, Iligan City, Mindanao, Lanao Del Norte, 9200</t>
  </si>
  <si>
    <t>SAYDLINE PH.</t>
  </si>
  <si>
    <t>AGA MARICA DABID</t>
  </si>
  <si>
    <t>BRGY SAN MANUEL TARLAC CITY PICK UP SA MOTORWAY TARLAC</t>
  </si>
  <si>
    <t>R 0175</t>
  </si>
  <si>
    <t>KENT ZHOLO MIGUEL ALQUIZA</t>
  </si>
  <si>
    <t>zholoalquiza</t>
  </si>
  <si>
    <t>Jamisolamin Residence, Luna, Claveria, Mindanao, Misamis Oriental, 9004</t>
  </si>
  <si>
    <t>THE GOAT PART</t>
  </si>
  <si>
    <t>SWEET HEARTS RANCH</t>
  </si>
  <si>
    <t>TAYSAN</t>
  </si>
  <si>
    <t>SUSANNA A. MACAROY</t>
  </si>
  <si>
    <t>susanna.macaroy</t>
  </si>
  <si>
    <t>Magsaysay Street, Bisocol, Bisocol, Alaminos City, North Luzon, Pangasinan, 2404</t>
  </si>
  <si>
    <t>CECILIA SAVELLANO</t>
  </si>
  <si>
    <t>cecil_1963</t>
  </si>
  <si>
    <t>Myrnas Store, Bgy. No. 11, Laoag City, North Luzon, Ilocos Norte, 2900</t>
  </si>
  <si>
    <t>FEEDING BOTTLE FOR GOAT KIDS</t>
  </si>
  <si>
    <t>ROEL JAMAGO</t>
  </si>
  <si>
    <t>ispongebob</t>
  </si>
  <si>
    <t>Uptown phase 3 block 9 lot 14, Tiptip, Tagbilaran City, Visayas, Bohol, 6300</t>
  </si>
  <si>
    <t>ANTONIA T. GALINATO</t>
  </si>
  <si>
    <t>e5ennrdlv3</t>
  </si>
  <si>
    <t>Purok4.Brgy. Sta Ana Tubay, Agusan del Norte, Santa Ana, Tubay, Mindanao, Agusan Del Norte, 8606</t>
  </si>
  <si>
    <t>MARIFE RABINA</t>
  </si>
  <si>
    <t>crisjohn28</t>
  </si>
  <si>
    <t>102 Brgy Lucap Alaminos City Pangasinan, Lucap, Alaminos City, North Luzon, Pangasinan, 2404</t>
  </si>
  <si>
    <t>FREDELYN TOMAS GAJES</t>
  </si>
  <si>
    <t>fredelyntomasgajes</t>
  </si>
  <si>
    <t>Purok 1, Santa Rita, Aurora, North Luzon, Isabela, 3116</t>
  </si>
  <si>
    <t>MARINA MINDANAO</t>
  </si>
  <si>
    <t>marinamindanao</t>
  </si>
  <si>
    <t>Sitio Tabag, Bignay 2 (sa bahay ni kon.jojo mindanao), Bignay 2, Sariaya, South Luzon, Quezon, 4322</t>
  </si>
  <si>
    <t>SUNSHINE DE JESUS</t>
  </si>
  <si>
    <t>seandejesus</t>
  </si>
  <si>
    <t>365 P Ramos st - in front of smart tower(valencianahan), Tabing Bakod, Santa Maria, North Luzon, Bulacan, 3022</t>
  </si>
  <si>
    <t>JAYCEE FERREROS</t>
  </si>
  <si>
    <t>jayceechristchild</t>
  </si>
  <si>
    <t>Brgy, Magsaysay, Esperanza, Masbate City, Magsaysay, Esperanza, South Luzon, Masbate, 5407</t>
  </si>
  <si>
    <t>NILO BATINGA</t>
  </si>
  <si>
    <t>DANIEL LEE V. CACANANDO</t>
  </si>
  <si>
    <t>zmh6wt66nx</t>
  </si>
  <si>
    <t>668, Kihare, Poblacion, Manolo Fortich, Bukidnon, Tankulan (Pob.), Manolo Fortich, Mindanao, Bukidnon, 8703</t>
  </si>
  <si>
    <t>MER GRACE LAUDINO</t>
  </si>
  <si>
    <t>8l0xs2c3zq</t>
  </si>
  <si>
    <t>P2A kahulogan, Barangay 26 (Pob.), Gingoog City, Mindanao, Misamis Oriental, 9014</t>
  </si>
  <si>
    <t>JAMILA MARTINEZ</t>
  </si>
  <si>
    <t>jamilamartinez593</t>
  </si>
  <si>
    <t>Poblacion Suki Market Alaminos City Pangasinan, Poblacion, Alaminos City, North Luzon, Pangasinan, 2404</t>
  </si>
  <si>
    <t>BERNARD LAGAHIT</t>
  </si>
  <si>
    <t>jayepets</t>
  </si>
  <si>
    <t>Mabigo canlaon City, Mabigo (Pob.), Canlaon City, Visayas, Negros Oriental, 6233</t>
  </si>
  <si>
    <t>JASON PEREZ</t>
  </si>
  <si>
    <t>METERS</t>
  </si>
  <si>
    <t>bernardclintonlagahit</t>
  </si>
  <si>
    <t>01 upo street tumana, Tumana, Santa Maria, North Luzon, Bulacan, 3022</t>
  </si>
  <si>
    <t>TWIN TUBE</t>
  </si>
  <si>
    <t>MARY FOSE GAYOSO</t>
  </si>
  <si>
    <t>DUFAMEC</t>
  </si>
  <si>
    <t>dudz_14</t>
  </si>
  <si>
    <t>Guiuan Christian Fellowship, Cogon, Cogon, Guiuan, Visayas, Eastern Samar, 6809</t>
  </si>
  <si>
    <t>JOSEPH CARREON</t>
  </si>
  <si>
    <t>gilcorla522</t>
  </si>
  <si>
    <t>Purok 6, Tanyag, Calintaan, South Luzon, Occidental Mindoro, 5102</t>
  </si>
  <si>
    <t>JAYPEE</t>
  </si>
  <si>
    <t>jaypeejavier196</t>
  </si>
  <si>
    <t>Marileños Poultry Shop Energex Gas Station, Loma De Gato (until 5:40 only MontoSat. Sunday 12noon, Loma De Gato, Marilao, North Luzon, Bulacan, 3019</t>
  </si>
  <si>
    <t>KIEL VICTOR MATEO</t>
  </si>
  <si>
    <t>kielvizmonte27</t>
  </si>
  <si>
    <t>Bartolome, Street, Pantubig (BAKAHAN), Pantubig, San Rafael, North Luzon, Bulacan, 3023</t>
  </si>
  <si>
    <t>SYLVESTER L. AYING</t>
  </si>
  <si>
    <t>VETEGLAN</t>
  </si>
  <si>
    <t>sylvesteraying</t>
  </si>
  <si>
    <t>Coke warehouse, Purok 3, Along the Highway, Kitacubong (Pob.), Alamada, Mindanao, North Cotabato, 9413</t>
  </si>
  <si>
    <t>SI 0210</t>
  </si>
  <si>
    <t>STREAM FLOW TRADING &amp; GENERAL SERVICES</t>
  </si>
  <si>
    <t>CDO</t>
  </si>
  <si>
    <t>CANS</t>
  </si>
  <si>
    <t>LALAMOVE TO MORETA</t>
  </si>
  <si>
    <t>Gerry Ejera</t>
  </si>
  <si>
    <t>Door 4&amp;5 Cornelio Bldg., Ramon Chavez St., Cagayan de Oro City</t>
  </si>
  <si>
    <t>Gerinico</t>
  </si>
  <si>
    <t>SI 0211</t>
  </si>
  <si>
    <t>MARBENCO</t>
  </si>
  <si>
    <t>QUEZON</t>
  </si>
  <si>
    <t>R 177</t>
  </si>
  <si>
    <t>HANZY</t>
  </si>
  <si>
    <t>ACE BALDOVINO</t>
  </si>
  <si>
    <t>milan0603</t>
  </si>
  <si>
    <t>Zone 1, Camanacsacan, Camanacsacan, San Jose City, North Luzon, Nueva Ecija, 3110</t>
  </si>
  <si>
    <t>2GO</t>
  </si>
  <si>
    <t>BOBBY SABANG</t>
  </si>
  <si>
    <t>JONNY LAIDA DIANE</t>
  </si>
  <si>
    <t>R 178</t>
  </si>
  <si>
    <t>GERALD CARAAN</t>
  </si>
  <si>
    <t>SI 0212</t>
  </si>
  <si>
    <t>JEOAX BREEDING FARM</t>
  </si>
  <si>
    <t>LEIZEL CASTANARES</t>
  </si>
  <si>
    <t>MILKING CLAW</t>
  </si>
  <si>
    <t>gwentoriano</t>
  </si>
  <si>
    <t>Purok Dahlia, Abuanan, Bago City, Visayas, Negros Occidental, 6101</t>
  </si>
  <si>
    <t>CHRISTY MAE VISITACION VISITACION</t>
  </si>
  <si>
    <t>thymae84</t>
  </si>
  <si>
    <t>brgy 6 san pedro 1 bacarra ilocos norte, San Pedro I (Pob.), Bacarra, North Luzon, Ilocos Norte, 2916</t>
  </si>
  <si>
    <t>SI 0213</t>
  </si>
  <si>
    <t>SI 0214</t>
  </si>
  <si>
    <t>RAMIL MARTINEZ</t>
  </si>
  <si>
    <t>JOY ALMIRA</t>
  </si>
  <si>
    <t>R 179</t>
  </si>
  <si>
    <t>R 181</t>
  </si>
  <si>
    <t>R 180</t>
  </si>
  <si>
    <t>JOSHUA MALLARI FERANCULLO</t>
  </si>
  <si>
    <t>joshuaferancullo195</t>
  </si>
  <si>
    <t>Centro Kaligtasan Bongabong Oriental Mindoro, Kaligtasan, Bongabong, South Luzon, Oriental Mindoro, 5211</t>
  </si>
  <si>
    <t>KREZIA ANNE MEDALLON</t>
  </si>
  <si>
    <t>kreziaannediopolmedallon</t>
  </si>
  <si>
    <t>Alindog proper bansud, Proper Bansud, Bansud, South Luzon, Oriental Mindoro, 5210</t>
  </si>
  <si>
    <t>JUVEN DELA CRUZ</t>
  </si>
  <si>
    <t>VICTORY LINER INC.</t>
  </si>
  <si>
    <t>FORZE CORPORATION</t>
  </si>
  <si>
    <t>STAR INFRASTRUCTURE DEVELOPTMENT CORP.</t>
  </si>
  <si>
    <t>GLOBE TELECOM INC.</t>
  </si>
  <si>
    <t>MATATAG CARGO LOGISTIC CORP.</t>
  </si>
  <si>
    <t>SMC SLEX INC</t>
  </si>
  <si>
    <t>SMC SKYWAY CORPORATION</t>
  </si>
  <si>
    <t>SMC SKYWAY STAGE 3 CORPORATION</t>
  </si>
  <si>
    <t>STAFF BENEFITS FOR THE MONTH OF DECEMBER 2026</t>
  </si>
  <si>
    <t>MS.TIRE AND SERVICES CENTER INC.</t>
  </si>
  <si>
    <t>D.S MAYORS PERMIT</t>
  </si>
  <si>
    <t>CEDULA DAIRY SOLUTIONS OPC.</t>
  </si>
  <si>
    <t>BDF-LIPA CITY FIRE STATION</t>
  </si>
  <si>
    <t>CEDULA - LOVELY MENDOZA</t>
  </si>
  <si>
    <t>REPUBLIC OF THE PHILIPPINES CITY OF LIPA OFFICE OF THE TRESURERE - CTO</t>
  </si>
  <si>
    <t>COMMUNITY TAX CERTIFICATE CORPORATION</t>
  </si>
  <si>
    <t>REPUBLIC OF THE PHILIPPINES BUREAU OF FIRE PROTECTION</t>
  </si>
  <si>
    <t>SMC TPLEX CORPORATION</t>
  </si>
  <si>
    <t>SMS TYRE DEPOT</t>
  </si>
  <si>
    <t>RJEN SCHOOL AND OFFICE SUPPLES TRADING</t>
  </si>
  <si>
    <t>C &amp; J DELICIOUS DONUTS INC.</t>
  </si>
  <si>
    <t>VETRICH</t>
  </si>
  <si>
    <t>PHILGEPS REGISTRATION</t>
  </si>
  <si>
    <t>VICTORY LINET INC.</t>
  </si>
  <si>
    <t>MATATAG CARGO LOGISTICS CORP.</t>
  </si>
  <si>
    <t>VET SPECIALIST</t>
  </si>
  <si>
    <t>2GO EXPRESS INC</t>
  </si>
  <si>
    <t>SCHILLS</t>
  </si>
  <si>
    <t>TANAUN PACKAGNG CENTER</t>
  </si>
  <si>
    <t>PAYROLL - GARRY</t>
  </si>
  <si>
    <t>PAYROLL - LOVELY</t>
  </si>
  <si>
    <t>PAYROLL - HELPER</t>
  </si>
  <si>
    <t>RENTAL</t>
  </si>
  <si>
    <t>PLDT</t>
  </si>
  <si>
    <t>000-616-906-00068</t>
  </si>
  <si>
    <t>621-789-004-000</t>
  </si>
  <si>
    <t>005-580-396-00000</t>
  </si>
  <si>
    <t>000-768-480-00000</t>
  </si>
  <si>
    <t>008-080-233.00000</t>
  </si>
  <si>
    <t>207-247-094-00000</t>
  </si>
  <si>
    <t>004-625-830-00000</t>
  </si>
  <si>
    <t>008-415-345-00000</t>
  </si>
  <si>
    <t>010-752-217-00000</t>
  </si>
  <si>
    <t>0006-887-378-0000</t>
  </si>
  <si>
    <t>182-623-676-00000</t>
  </si>
  <si>
    <t>006-306-965-00032</t>
  </si>
  <si>
    <t>220-988-548-00000</t>
  </si>
  <si>
    <t>008-080-233-00000</t>
  </si>
  <si>
    <t>003-935-254-00000</t>
  </si>
  <si>
    <t>000-855-492-00000</t>
  </si>
  <si>
    <t>LIPA CITY, BATANGAS</t>
  </si>
  <si>
    <t>TAGUIG CITY</t>
  </si>
  <si>
    <t>NCR</t>
  </si>
  <si>
    <t>san pablo laguna</t>
  </si>
  <si>
    <t>MALVAR</t>
  </si>
  <si>
    <t>SANTA MARIA BULACAN</t>
  </si>
  <si>
    <t>TANUAN, BATANGAS</t>
  </si>
  <si>
    <t>1-LIP100017000</t>
  </si>
  <si>
    <t>SIDC000124354338</t>
  </si>
  <si>
    <t>SLEX000480036878</t>
  </si>
  <si>
    <t>SIDC 000123966299</t>
  </si>
  <si>
    <t>SLEX000480129154</t>
  </si>
  <si>
    <t>SIDC 000123988979</t>
  </si>
  <si>
    <t>SKYWAY0003894788000</t>
  </si>
  <si>
    <t>SIDC 000124045130</t>
  </si>
  <si>
    <t>MMSS3000204290284</t>
  </si>
  <si>
    <t>MMSS3000204385043</t>
  </si>
  <si>
    <t>SKYWAY000389703712</t>
  </si>
  <si>
    <t>SLEX000480652066</t>
  </si>
  <si>
    <t>SIDC00124117603</t>
  </si>
  <si>
    <t>MMSS3000204408228</t>
  </si>
  <si>
    <t>SIDC000124293512</t>
  </si>
  <si>
    <t>SKYWAY000390445171</t>
  </si>
  <si>
    <t>SLEX000481601443</t>
  </si>
  <si>
    <t>SKYWAY000390445822</t>
  </si>
  <si>
    <t>MMSS3000204807788</t>
  </si>
  <si>
    <t>TPLEX00045518536</t>
  </si>
  <si>
    <t>MMSS3000205517342</t>
  </si>
  <si>
    <t>SIDC 000124783431</t>
  </si>
  <si>
    <t>SLEX000483287198</t>
  </si>
  <si>
    <t>SKYWAY000391768355</t>
  </si>
  <si>
    <t>MMSS3000205581764</t>
  </si>
  <si>
    <t>MMSS3000205491858</t>
  </si>
  <si>
    <t>SIDC 000124781170</t>
  </si>
  <si>
    <t>SLEX0004832777750</t>
  </si>
  <si>
    <t>SKYWAY000391761019</t>
  </si>
  <si>
    <t>1-LIP100017298</t>
  </si>
  <si>
    <t>SIDC000126264613</t>
  </si>
  <si>
    <t>SIDC000126295295</t>
  </si>
  <si>
    <t>SIDC000126363106</t>
  </si>
  <si>
    <t>SIDC000125997018</t>
  </si>
  <si>
    <t>TK2 -2PK</t>
  </si>
  <si>
    <t>DOUBLE BUCKET MILKING MACHINE</t>
  </si>
  <si>
    <t>MILKING EQUIPMENT</t>
  </si>
  <si>
    <t>1PK</t>
  </si>
  <si>
    <t>MILK BUCKET UNIT</t>
  </si>
  <si>
    <t>VACUUM DISCHARGE PLUG</t>
  </si>
  <si>
    <t>3763-B</t>
  </si>
  <si>
    <t>ROTARY BRUSH FOR GOATS &amp; SHEEP</t>
  </si>
  <si>
    <t>TORNADO BOOSTER SERVO REGULATOR</t>
  </si>
  <si>
    <t>3608-3</t>
  </si>
  <si>
    <t>VACUUM PUMP 1100L/MIN</t>
  </si>
  <si>
    <t>3613-S1X2206022</t>
  </si>
  <si>
    <t>VACUUM PUMP MOTOR FOR 750/900</t>
  </si>
  <si>
    <t>3609-1 22060055</t>
  </si>
  <si>
    <t>ELECTRIC MOTOR FOR MILKING MACHINE</t>
  </si>
  <si>
    <t>3601 YZS V0ZL02</t>
  </si>
  <si>
    <t>ELECTRIC MOTOR WITH VACUUM PUMP FOR MILKING MACHINE</t>
  </si>
  <si>
    <t xml:space="preserve">CASTING VACUUM PUMP </t>
  </si>
  <si>
    <t>ELECTRIC SWITCH 20AMP</t>
  </si>
  <si>
    <t>MILK STOPPER</t>
  </si>
  <si>
    <t>THAWING JAR</t>
  </si>
  <si>
    <t>ALKAPLUS</t>
  </si>
  <si>
    <t>GAL</t>
  </si>
  <si>
    <t>GRAPHITE VANES FOR PORTABLE MILKING MACHINE FOR GOAT (4.9X43X70MM)</t>
  </si>
  <si>
    <t>GRAPHITE VANES FOR PORTABLE MILKING MACHINE FOR COW ( 4.90X43.00X80MM)</t>
  </si>
  <si>
    <t>3606-5</t>
  </si>
  <si>
    <t>VACUUM FIBER PALLET 4.9MM X43MM X 100MM  - oil type</t>
  </si>
  <si>
    <t>set</t>
  </si>
  <si>
    <t>3607-5</t>
  </si>
  <si>
    <t>VACUUM FIBER PALLET 4.85MMX41.5X149.6MM - VACUUM PUMP</t>
  </si>
  <si>
    <t>3500-4</t>
  </si>
  <si>
    <t>3507-1</t>
  </si>
  <si>
    <t>20LIT MILK CAN</t>
  </si>
  <si>
    <t>30LIT MILK CAN</t>
  </si>
  <si>
    <t>3510-1</t>
  </si>
  <si>
    <t>40LIT MILK CAN</t>
  </si>
  <si>
    <t>3500-42</t>
  </si>
  <si>
    <t>10L &amp; 40L MILK CAN COVER WITH GASKET</t>
  </si>
  <si>
    <t>3500-41</t>
  </si>
  <si>
    <t>10L &amp; 40L MILK CAN COVER GASKET ONLY</t>
  </si>
  <si>
    <t>MILK CLUSTER SET FOR COWS</t>
  </si>
  <si>
    <t>MILKING CLUSTER SET FOR COWS</t>
  </si>
  <si>
    <t>3358-1</t>
  </si>
  <si>
    <t>TEAT CUP SHELL FOR GOATS</t>
  </si>
  <si>
    <t>3154-1</t>
  </si>
  <si>
    <t>3238-1 SET</t>
  </si>
  <si>
    <t>TEAT CUP SHELL FOR COWS</t>
  </si>
  <si>
    <t>3111-6</t>
  </si>
  <si>
    <t>3366-1</t>
  </si>
  <si>
    <t>Y-SHAPE FITTING SMALL</t>
  </si>
  <si>
    <t>MILK &amp; AIR DISTRIBUTOR</t>
  </si>
  <si>
    <t>3277-1</t>
  </si>
  <si>
    <t>SHUT OFF VALVE ONLY</t>
  </si>
  <si>
    <t>VACUUM METER SMALL</t>
  </si>
  <si>
    <t>VACUUM METER BIG</t>
  </si>
  <si>
    <t>4300-M-BX</t>
  </si>
  <si>
    <t>PULSATOR FOR COWS</t>
  </si>
  <si>
    <t>4300-51-M-BX</t>
  </si>
  <si>
    <t>REPAIR KIT</t>
  </si>
  <si>
    <t>3442-2</t>
  </si>
  <si>
    <t>VACUUM HOSE</t>
  </si>
  <si>
    <t>3661-9</t>
  </si>
  <si>
    <t>PIPE HOLDER BRACKET BIG</t>
  </si>
  <si>
    <t>PIPE HOLDER BRACKET SMALL</t>
  </si>
  <si>
    <t>3657-1</t>
  </si>
  <si>
    <t>MELASTY WASHING LINE 50MM</t>
  </si>
  <si>
    <t>3657-2</t>
  </si>
  <si>
    <t>MELASTY WASHING LINE 63MM</t>
  </si>
  <si>
    <t>3426-3</t>
  </si>
  <si>
    <t>MINIVALVE 16x16</t>
  </si>
  <si>
    <t>3661-2</t>
  </si>
  <si>
    <t>NIPPLE KIT FOR VACUUM VALVE CONNECTION</t>
  </si>
  <si>
    <t>VACUUM REGULATOR SMALL</t>
  </si>
  <si>
    <t>VACUUM REGULATOR BIG</t>
  </si>
  <si>
    <t>REDUCING CONNECTOR 30x50mm</t>
  </si>
  <si>
    <t>pc</t>
  </si>
  <si>
    <t>RUBBER STOPPER WITH INOX EXIT</t>
  </si>
  <si>
    <t>3337-1</t>
  </si>
  <si>
    <t>30LIT BUCKET LID WITH GASKET FOR 1PK</t>
  </si>
  <si>
    <t>3268 / 3270-1</t>
  </si>
  <si>
    <t>VACUUM TANK LID WITH GASKET</t>
  </si>
  <si>
    <t>BUCKET LID GASKET 30LIT (E-2G) (E-3G)</t>
  </si>
  <si>
    <t>3208-1 2G</t>
  </si>
  <si>
    <t>3421-1</t>
  </si>
  <si>
    <t>3683-1</t>
  </si>
  <si>
    <t>TRANSFER BUCKET LID &amp; GASKET 38SS</t>
  </si>
  <si>
    <t>3209-1</t>
  </si>
  <si>
    <t>TRANSFER BUCKET LID GASKET ONLY</t>
  </si>
  <si>
    <t>PUHU ELECTRIC FENCE SYSTEM</t>
  </si>
  <si>
    <t xml:space="preserve">Delivery Charge &amp; Fee's </t>
  </si>
  <si>
    <t xml:space="preserve">Fuel &amp; Oil </t>
  </si>
  <si>
    <t xml:space="preserve">Transportation and Travel / Toll Fee's </t>
  </si>
  <si>
    <t xml:space="preserve">Communication, Light and Water </t>
  </si>
  <si>
    <t xml:space="preserve">Repairs &amp; Maintenance </t>
  </si>
  <si>
    <t>Permits &amp; Liscense</t>
  </si>
  <si>
    <t xml:space="preserve">Materials and Supplies </t>
  </si>
  <si>
    <t xml:space="preserve">Miscellenious </t>
  </si>
  <si>
    <t>YES</t>
  </si>
  <si>
    <t>NO</t>
  </si>
  <si>
    <t>JNT</t>
  </si>
  <si>
    <t>SAMICO</t>
  </si>
  <si>
    <t>TRISTAN</t>
  </si>
  <si>
    <t>hazelgarcia210</t>
  </si>
  <si>
    <t>ROEL</t>
  </si>
  <si>
    <t>TICKAMIT</t>
  </si>
  <si>
    <t>CAN</t>
  </si>
  <si>
    <t>TUBE</t>
  </si>
  <si>
    <t>OLIGOVITAL</t>
  </si>
  <si>
    <t>MELDS</t>
  </si>
  <si>
    <t>201-178-564</t>
  </si>
  <si>
    <t>EXPIRED</t>
  </si>
  <si>
    <t>RRSAC</t>
  </si>
  <si>
    <t>NORMAN</t>
  </si>
  <si>
    <t>920-153-339-000</t>
  </si>
  <si>
    <t>CASH</t>
  </si>
  <si>
    <t>ESTROPPUR</t>
  </si>
  <si>
    <t>000-620-534-000</t>
  </si>
  <si>
    <t>DEL;IVERED</t>
  </si>
  <si>
    <t>ROBERT</t>
  </si>
  <si>
    <t>JOVANNI</t>
  </si>
  <si>
    <t>000-639-016-00000</t>
  </si>
  <si>
    <t>W/CHECK</t>
  </si>
  <si>
    <t>return/refund</t>
  </si>
  <si>
    <t>JOSEPHINE</t>
  </si>
  <si>
    <t>R.201</t>
  </si>
  <si>
    <t>CHERYL</t>
  </si>
  <si>
    <t>PAPOT/ELIZABETH</t>
  </si>
  <si>
    <t>DREI</t>
  </si>
  <si>
    <t>SETS</t>
  </si>
  <si>
    <t>619-744-845-00000</t>
  </si>
  <si>
    <t>RRSAQ</t>
  </si>
  <si>
    <t>932-419-128-00000</t>
  </si>
  <si>
    <t>GLG ACCOUNTING OFFICE - D.S</t>
  </si>
  <si>
    <t>LIPA CITY BATANGAS</t>
  </si>
  <si>
    <t>GLG ACCOUNTING OFFICE - BDFTI</t>
  </si>
  <si>
    <t>1-LIP100017562</t>
  </si>
  <si>
    <t>1-LIP100017593</t>
  </si>
  <si>
    <t>TANUAN PACKAGING CENTER</t>
  </si>
  <si>
    <t>MMSS3000209408884</t>
  </si>
  <si>
    <t>SIDC 000127093844</t>
  </si>
  <si>
    <t>SLEX000492626581</t>
  </si>
  <si>
    <t>SKYWAY000399167798</t>
  </si>
  <si>
    <t>MMSS3000209391010</t>
  </si>
  <si>
    <t>MMSS3000209373426</t>
  </si>
  <si>
    <t>SIDC 000127069273</t>
  </si>
  <si>
    <t>SLEX000492516715</t>
  </si>
  <si>
    <t>SIDC 000126816235</t>
  </si>
  <si>
    <t>SIDC 000126811589</t>
  </si>
  <si>
    <t>SIDC 000126681159</t>
  </si>
  <si>
    <t>VETRICH CORPORATION</t>
  </si>
  <si>
    <t>STA.MARIA BULACAN</t>
  </si>
  <si>
    <t>1-LIP100017762</t>
  </si>
  <si>
    <t>102-699-647-0000</t>
  </si>
  <si>
    <t>TAGUMPAY MINI MART</t>
  </si>
  <si>
    <t>008-988-817-000</t>
  </si>
  <si>
    <t>SHOPEE PHILIPPINES INC. - JANUARY 2026</t>
  </si>
  <si>
    <t>ISSIPF0000087118122</t>
  </si>
  <si>
    <t>ISSIXPF000003229716</t>
  </si>
  <si>
    <t>SABANG LIPA CITY BATANGAS</t>
  </si>
  <si>
    <t>SIDC 000128286634</t>
  </si>
  <si>
    <t>SIDC 000128386249</t>
  </si>
  <si>
    <t>SIDC 000128355654</t>
  </si>
  <si>
    <t>SIDC 000128358878</t>
  </si>
  <si>
    <t>SIDC 000128390006</t>
  </si>
  <si>
    <t>SIDC 000128396453</t>
  </si>
  <si>
    <t>SIDC 000128454899</t>
  </si>
  <si>
    <t>SIDC 000128455821</t>
  </si>
  <si>
    <t>SIDC 000128479696</t>
  </si>
  <si>
    <t>SIDC 000128486579</t>
  </si>
  <si>
    <t>TANUAN </t>
  </si>
  <si>
    <t>309-413-762-00000</t>
  </si>
  <si>
    <t>SPEC PACKAGING SUPPLIES</t>
  </si>
  <si>
    <t>STICKER</t>
  </si>
  <si>
    <t>1-LIP100017941</t>
  </si>
  <si>
    <t>LIPA CITY,BATANGAS</t>
  </si>
  <si>
    <t>182-623-676-0000</t>
  </si>
  <si>
    <t>RJEN SCHOOL SUPPLIES TRADING</t>
  </si>
  <si>
    <t>1-LIP100017970</t>
  </si>
  <si>
    <t>SIDC 000129186520</t>
  </si>
  <si>
    <t>SIDC 000129183183</t>
  </si>
  <si>
    <t>2GO EXPRESS INC.</t>
  </si>
  <si>
    <t>008-266-628-00008</t>
  </si>
  <si>
    <t>HIWAGA NG DAGAT CORP.</t>
  </si>
  <si>
    <t>MANILA</t>
  </si>
  <si>
    <t>266-528-936-00000</t>
  </si>
  <si>
    <t>REYES ELECTRONIC SHOP</t>
  </si>
  <si>
    <t>AGRI AMOR</t>
  </si>
  <si>
    <t>REPAIR BATTERY</t>
  </si>
  <si>
    <t>MARCC PARTNERS 2018 CORP</t>
  </si>
  <si>
    <t>MMSS3000213877390</t>
  </si>
  <si>
    <t>SIDC 000129785031</t>
  </si>
  <si>
    <t>SLEX000503414346</t>
  </si>
  <si>
    <t>SKYWAY000407578087</t>
  </si>
  <si>
    <t>MMSS3000213863889</t>
  </si>
  <si>
    <t>MMSS3000213817106</t>
  </si>
  <si>
    <t>SIDC 00012949107</t>
  </si>
  <si>
    <t>SLEX000503263636</t>
  </si>
  <si>
    <t>SKYWAY000407457732</t>
  </si>
  <si>
    <t>SIDC 000129874153</t>
  </si>
  <si>
    <t>SIDC 000129863933</t>
  </si>
  <si>
    <t>921-419-128-00000</t>
  </si>
  <si>
    <t>GLG ACCOUNTING OFFICE </t>
  </si>
  <si>
    <t>SHOPEE PHILIPPINES INC.</t>
  </si>
  <si>
    <t>ISSPF000008895488</t>
  </si>
  <si>
    <t>VICTORY LINER INC</t>
  </si>
  <si>
    <t>1-LIP100018271</t>
  </si>
  <si>
    <t>003-826-548-00000</t>
  </si>
  <si>
    <t>ABERDEEN COURT INC.</t>
  </si>
  <si>
    <t>QUEZON CITY</t>
  </si>
  <si>
    <t>009-157-612-00000</t>
  </si>
  <si>
    <t>METALCRETE CONSTRUCTION, INC.</t>
  </si>
  <si>
    <t>646-914-273-000</t>
  </si>
  <si>
    <t>PETRON</t>
  </si>
  <si>
    <t>204-729-573-00000</t>
  </si>
  <si>
    <t>JCAS AIRCON TRADING &amp; INSTALLATION SERVICES</t>
  </si>
  <si>
    <t>TANUAN CITY,BATANGAS</t>
  </si>
  <si>
    <t>SIDC 000131591511</t>
  </si>
  <si>
    <t>SIDC 000131594185</t>
  </si>
  <si>
    <t>SIDC 000131696328</t>
  </si>
  <si>
    <t>SIDC 000131702297</t>
  </si>
  <si>
    <t>SIDC 000131706460</t>
  </si>
  <si>
    <t>1-LIP100018522</t>
  </si>
  <si>
    <t>010-892-450-00000</t>
  </si>
  <si>
    <t>GOLDEN PHOENIX RESTAURANT</t>
  </si>
  <si>
    <t>NO. 0632</t>
  </si>
  <si>
    <t>MALVAR BATANGAS</t>
  </si>
  <si>
    <t>224-545-787-00019</t>
  </si>
  <si>
    <t>CONTIS</t>
  </si>
  <si>
    <t>N0. 0004006</t>
  </si>
  <si>
    <t>GLG ACCOUNTING OFFICE</t>
  </si>
  <si>
    <t>SIDC 000132684529</t>
  </si>
  <si>
    <t>SIDC 000132665271</t>
  </si>
  <si>
    <t>SIDC 000132760507</t>
  </si>
  <si>
    <t>SIDC 000132763445</t>
  </si>
  <si>
    <t>TANAUAN CITY</t>
  </si>
  <si>
    <t>007-138-002-00000</t>
  </si>
  <si>
    <t>PENTE CYMA GREEK ESTIATORIO CORP</t>
  </si>
  <si>
    <t>NO 1221</t>
  </si>
  <si>
    <t>LEADTECH PH COMMERCIAL CORP.</t>
  </si>
  <si>
    <t>001-695-489-00004</t>
  </si>
  <si>
    <t>ALLIEDBANKERS ISURANCE COPORATION</t>
  </si>
  <si>
    <t>VSILI-0000001964</t>
  </si>
  <si>
    <t>201-277-842-00000</t>
  </si>
  <si>
    <t>MAMANGUN LAW FIRM</t>
  </si>
  <si>
    <t>NO. 1058</t>
  </si>
  <si>
    <t>NO.5564479</t>
  </si>
  <si>
    <t>000-782-140-01169</t>
  </si>
  <si>
    <t>LBC EXPRESS INC</t>
  </si>
  <si>
    <t>LIP1310000017175</t>
  </si>
  <si>
    <t>MATATAG CARGO LOGISTICS CORP</t>
  </si>
  <si>
    <t>NO.65064</t>
  </si>
  <si>
    <t>007-848-700-004</t>
  </si>
  <si>
    <t>HAP CHAN LIPA</t>
  </si>
  <si>
    <t>204-729-573-00003</t>
  </si>
  <si>
    <t>JCAS Aicon Trading and Installation Services</t>
  </si>
  <si>
    <t>272-966-238-00001</t>
  </si>
  <si>
    <t>REVI MERHEB TRADING</t>
  </si>
  <si>
    <t>N0. 13921</t>
  </si>
  <si>
    <t>007-157-779-033</t>
  </si>
  <si>
    <t>ARMY NAVY</t>
  </si>
  <si>
    <t>0-0000000000000138654</t>
  </si>
  <si>
    <t>LALAMOVE </t>
  </si>
  <si>
    <t>009-598-519-00000</t>
  </si>
  <si>
    <t>VET SPECIALISTS </t>
  </si>
  <si>
    <t>NO. 21057</t>
  </si>
  <si>
    <t>QUEZON CITY, NCR</t>
  </si>
  <si>
    <t>VICORY LINER INC</t>
  </si>
  <si>
    <t>LIP1000018917</t>
  </si>
  <si>
    <t>TANAUAN PACKAGING CENTER</t>
  </si>
  <si>
    <t>NO. 5564483</t>
  </si>
  <si>
    <t>NO. 0060330 -DDM</t>
  </si>
  <si>
    <t>664-275-604-00002</t>
  </si>
  <si>
    <t>FOOD CORPORATION</t>
  </si>
  <si>
    <t>NO 2266</t>
  </si>
  <si>
    <t>PETRON N POWER OPC</t>
  </si>
  <si>
    <t>SI 0000383487</t>
  </si>
  <si>
    <t>628-389-341-00000</t>
  </si>
  <si>
    <t>WACK'S FOOD HOUSE OPC</t>
  </si>
  <si>
    <t>NO. 0608</t>
  </si>
  <si>
    <t>ROSARIO BATANGAS</t>
  </si>
  <si>
    <t>NO. 5564486</t>
  </si>
  <si>
    <t>1-LIP100018957</t>
  </si>
  <si>
    <t>NO. 5564490</t>
  </si>
  <si>
    <t>000-768-480-0000</t>
  </si>
  <si>
    <t>GLOBE TELECOM INC</t>
  </si>
  <si>
    <t>GPNC1600036OR5204210</t>
  </si>
  <si>
    <t>GPNC1600036OR5203388</t>
  </si>
  <si>
    <t>GPNC1600036OR5215221</t>
  </si>
  <si>
    <t>GPNC1600036OR5204234</t>
  </si>
  <si>
    <t>010-259-049-00000</t>
  </si>
  <si>
    <t>SPX PHILIPPINES INC.</t>
  </si>
  <si>
    <t>ISISSF000001325901</t>
  </si>
  <si>
    <t>MANDALUYONG NCR</t>
  </si>
  <si>
    <t>ISSIPF000009244173</t>
  </si>
  <si>
    <t>GPNC1600036OR6922722</t>
  </si>
  <si>
    <t>GPNC1600036OR923468</t>
  </si>
  <si>
    <t>GPNC1600036OR6925867</t>
  </si>
  <si>
    <t>GPNC16000036OR6923920</t>
  </si>
  <si>
    <t>NO. 23291</t>
  </si>
  <si>
    <t>EDUARDO AND FARIDA RESTAURANT</t>
  </si>
  <si>
    <t>TAAL BATANGAS</t>
  </si>
  <si>
    <t>VETRICH CORP</t>
  </si>
  <si>
    <t>NO. 0366</t>
  </si>
  <si>
    <t>BULACAN</t>
  </si>
  <si>
    <t>FLASH EXPRESS</t>
  </si>
  <si>
    <t>NO RECEIPT</t>
  </si>
  <si>
    <t>less: income tax expense</t>
  </si>
  <si>
    <t>Add: Gain on Foreign Currency Transaction</t>
  </si>
  <si>
    <t>PROFESSIONAL FEES</t>
  </si>
  <si>
    <t>Materials and Supplies</t>
  </si>
  <si>
    <t>Transportation and Travel / Toll Fee's</t>
  </si>
  <si>
    <t>Miscellenious</t>
  </si>
  <si>
    <t>Ssalaries</t>
  </si>
  <si>
    <t xml:space="preserve"> Repairs &amp; Maintenance </t>
  </si>
  <si>
    <t>miscellenious</t>
  </si>
  <si>
    <t>repair</t>
  </si>
  <si>
    <t>insurance</t>
  </si>
  <si>
    <t>fees &amp; charges</t>
  </si>
  <si>
    <t>tanauan CITY</t>
  </si>
  <si>
    <t>Malabon ncr</t>
  </si>
  <si>
    <t>materials and Supplies</t>
  </si>
  <si>
    <t xml:space="preserve">communication, Light and Water </t>
  </si>
  <si>
    <t>3505-1</t>
  </si>
  <si>
    <t>3347-1</t>
  </si>
  <si>
    <t>CALF CARE</t>
  </si>
  <si>
    <t>3347-11</t>
  </si>
  <si>
    <t>REPLACEMENT NIPPLE FOR GOAT KID FEEDING BOTTLE</t>
  </si>
  <si>
    <t>3347-2</t>
  </si>
  <si>
    <t>REPLACEMENT CAP FOR GOAT KID FEEDING BOTTLE</t>
  </si>
  <si>
    <t>3325-1</t>
  </si>
  <si>
    <t>3249-1</t>
  </si>
  <si>
    <t>REPLACEMENT NIPPLE FOR CALF FEEDING BOTTLE</t>
  </si>
  <si>
    <t>REPLACEMENT CAP FOR CALF FEEDING BOTTLE</t>
  </si>
  <si>
    <t>3468-5</t>
  </si>
  <si>
    <t>FEEDING BUCKET</t>
  </si>
  <si>
    <t>3698-1</t>
  </si>
  <si>
    <t>FEEDING BUCKET NIPPLE</t>
  </si>
  <si>
    <t>FEEDING BUCKET VALVE</t>
  </si>
  <si>
    <t>KANAPEN -LC</t>
  </si>
  <si>
    <t>VETERINARY MEDICINE</t>
  </si>
  <si>
    <t>CLOXABEN DRY</t>
  </si>
  <si>
    <t>DUFAMOX G</t>
  </si>
  <si>
    <t>DOUBLE BUCKET MIKING MACHINE</t>
  </si>
  <si>
    <t>10LIT MILK CAN</t>
  </si>
  <si>
    <t>30LIT BUCKET LID ONLY 2G</t>
  </si>
  <si>
    <t>30LIT BUCKET LID ONLY 3G</t>
  </si>
  <si>
    <t xml:space="preserve">30LIT BUCKET LID W/GASKET (E2G) </t>
  </si>
  <si>
    <t>20LIT MILK CANS</t>
  </si>
  <si>
    <t>MULATO II</t>
  </si>
  <si>
    <t>SEEDS</t>
  </si>
  <si>
    <t>SHUT OFF VALVE GASKET ONLY</t>
  </si>
  <si>
    <t>17656</t>
  </si>
  <si>
    <t>17657</t>
  </si>
  <si>
    <t>no</t>
  </si>
  <si>
    <t>NETHERLANDS</t>
  </si>
  <si>
    <t>SCHILS</t>
  </si>
  <si>
    <t xml:space="preserve">25 KG DAIRY SOLUTIONS </t>
  </si>
  <si>
    <t>1KG PACK DAIRY SOLUTIONS</t>
  </si>
  <si>
    <t>500G PACK DAIRY SOLUTIONS</t>
  </si>
  <si>
    <t>DS BAG</t>
  </si>
  <si>
    <t>As of 1-31-2026</t>
  </si>
  <si>
    <t>VAT EXCEMPT SALE</t>
  </si>
  <si>
    <t>As of 2-28-2026</t>
  </si>
  <si>
    <t>As of 3-31-2026</t>
  </si>
  <si>
    <t>RECEIPT#</t>
  </si>
  <si>
    <t>TAXIDENTIFICATIONNUMBER</t>
  </si>
  <si>
    <t>SINO.</t>
  </si>
  <si>
    <t>UNITPRICE</t>
  </si>
  <si>
    <t>GROSSAMOUNT</t>
  </si>
  <si>
    <t>INPUTVAT</t>
  </si>
  <si>
    <t>OUTPUTVAT</t>
  </si>
  <si>
    <t>VATEXEMPTSALES</t>
  </si>
  <si>
    <t>TOTALCOST</t>
  </si>
  <si>
    <t>PO#</t>
  </si>
  <si>
    <t>CONTACT#</t>
  </si>
  <si>
    <t>JASONPEREZ</t>
  </si>
  <si>
    <t>MILKHOSE</t>
  </si>
  <si>
    <t>CELERINOGENUINO</t>
  </si>
  <si>
    <t>LONGLINER</t>
  </si>
  <si>
    <t>HERNANIDELOSSANTOS</t>
  </si>
  <si>
    <t>SHUTOFFVALVEGASKETONLY</t>
  </si>
  <si>
    <t>SHUTOFFVALVEONLY</t>
  </si>
  <si>
    <t>DRJERALDSCAMBA</t>
  </si>
  <si>
    <t>ALRICHCOM</t>
  </si>
  <si>
    <t>JIMRELLL.GENOVE</t>
  </si>
  <si>
    <t>MERCYJOYMONTOJO</t>
  </si>
  <si>
    <t>DAIRYSOLUTIONS</t>
  </si>
  <si>
    <t>R0184</t>
  </si>
  <si>
    <t>DANNYMAGPANTAY</t>
  </si>
  <si>
    <t>30LITMILKCANS</t>
  </si>
  <si>
    <t>R0186</t>
  </si>
  <si>
    <t>REPLACEMENTNIPPLEFORCALFFEEDINGBOTTLE</t>
  </si>
  <si>
    <t>NIEZAMAEJUMAWAN</t>
  </si>
  <si>
    <t>JAYSONMACATANGAY</t>
  </si>
  <si>
    <t>WALKINN</t>
  </si>
  <si>
    <t>DOCLOUIE</t>
  </si>
  <si>
    <t>ALBERTPERALTA</t>
  </si>
  <si>
    <t>REYSANTIAGO</t>
  </si>
  <si>
    <t>SI0215</t>
  </si>
  <si>
    <t>ACESPHILPRODUCERSCORPORATION</t>
  </si>
  <si>
    <t>DOUBLEBUCKETMIKINGMACHINE</t>
  </si>
  <si>
    <t>₱-</t>
  </si>
  <si>
    <t>SI0216</t>
  </si>
  <si>
    <t>VACUUMMETERSMALL</t>
  </si>
  <si>
    <t>30LITBUCKETLIDONLY3G</t>
  </si>
  <si>
    <t>BUCKETLIDGASKET30LIT(E-2G)(E-3G)</t>
  </si>
  <si>
    <t>PULSATORFORGOATS</t>
  </si>
  <si>
    <t>TWINTUBE</t>
  </si>
  <si>
    <t>SI0217</t>
  </si>
  <si>
    <t>Y-SHAPEFITTINGSMALL</t>
  </si>
  <si>
    <t>MILK&amp;AIRDISTRIBUTOR</t>
  </si>
  <si>
    <t>UNIVERSALCLAWFORCLAW</t>
  </si>
  <si>
    <t>SHIPPINGFEE</t>
  </si>
  <si>
    <t>BOBBYDICKJOAQUIN</t>
  </si>
  <si>
    <t>JERICMERCADO</t>
  </si>
  <si>
    <t>SI0219</t>
  </si>
  <si>
    <t>DA-PHILIPPINECARABAOCENTERATMMSU</t>
  </si>
  <si>
    <t>GARRYDELATORRE</t>
  </si>
  <si>
    <t>LYNGIEV.MAKILING</t>
  </si>
  <si>
    <t>FEEDINGBOTTLEFORCALF</t>
  </si>
  <si>
    <t>ROELLATAGAN/,MAINE</t>
  </si>
  <si>
    <t>R0189</t>
  </si>
  <si>
    <t>RAMONBALOTOC</t>
  </si>
  <si>
    <t>SI0220</t>
  </si>
  <si>
    <t>MLWILDLIFE&amp;ECOPARKINC.</t>
  </si>
  <si>
    <t>SI0221</t>
  </si>
  <si>
    <t>ASTROPHILTRADING</t>
  </si>
  <si>
    <t>SI0224</t>
  </si>
  <si>
    <t>CATMONMPC</t>
  </si>
  <si>
    <t>RUBENGENER</t>
  </si>
  <si>
    <t>MHEOESGUERRA</t>
  </si>
  <si>
    <t>3MCAVITETRADING</t>
  </si>
  <si>
    <t>AALIYAHJOVEN</t>
  </si>
  <si>
    <t>VICTORYLINER</t>
  </si>
  <si>
    <t>DENNISHUNG</t>
  </si>
  <si>
    <t>SI0225</t>
  </si>
  <si>
    <t>THECROPMASTERENTERPRISES</t>
  </si>
  <si>
    <t>NANETTEPONDEVIDA</t>
  </si>
  <si>
    <t>NEILPIAD</t>
  </si>
  <si>
    <t>SI0226</t>
  </si>
  <si>
    <t>JEZRIELBAGARES</t>
  </si>
  <si>
    <t>EDELITOSANCO</t>
  </si>
  <si>
    <t>BERNARDLAGAHIT</t>
  </si>
  <si>
    <t>JEFFREYC.NATIVIDAD</t>
  </si>
  <si>
    <t>EDWINL.PEÑARANDA</t>
  </si>
  <si>
    <t>THEROSARIOLIVESTOCK</t>
  </si>
  <si>
    <t>SI0227</t>
  </si>
  <si>
    <t>MAYORLAT</t>
  </si>
  <si>
    <t>SSGDAIRYFARM</t>
  </si>
  <si>
    <t>MILKINGCLUSTERSETFORCOWS</t>
  </si>
  <si>
    <t>JONAROMERO</t>
  </si>
  <si>
    <t>STEVECRISSANCHEZ</t>
  </si>
  <si>
    <t>FEEDINGBOTTLEFORGOATKIDS</t>
  </si>
  <si>
    <t>CARYLMORITCHO</t>
  </si>
  <si>
    <t>REPLACEMENTNIPPLEFORGOATKIDFEEDINGBOTTLE</t>
  </si>
  <si>
    <t>GABRIELBAUTISTA</t>
  </si>
  <si>
    <t>MILKINGCLAW</t>
  </si>
  <si>
    <t>SI0228</t>
  </si>
  <si>
    <t>KULAMANRANCH&amp;DAIRYFARM</t>
  </si>
  <si>
    <t>SHORTVACUUMTUBE</t>
  </si>
  <si>
    <t>VACUUMREGULATORBIG</t>
  </si>
  <si>
    <t>LUZLUZONG</t>
  </si>
  <si>
    <t>TEOFILORAMIREZ</t>
  </si>
  <si>
    <t>DEMARKBASAL</t>
  </si>
  <si>
    <t>JIRIZATLHERPERALTA</t>
  </si>
  <si>
    <t>DEILJOSON</t>
  </si>
  <si>
    <t>KATHYPAGUICAN</t>
  </si>
  <si>
    <t>ANNALIESETANCO</t>
  </si>
  <si>
    <t>CAROLABELLA</t>
  </si>
  <si>
    <t>ROBERTAMOROSO</t>
  </si>
  <si>
    <t>JILYNCABADING</t>
  </si>
  <si>
    <t>NOVELINBAGOTE</t>
  </si>
  <si>
    <t>YLIEJAHBIGCAS</t>
  </si>
  <si>
    <t>CARLLAMELA</t>
  </si>
  <si>
    <t>SI0229</t>
  </si>
  <si>
    <t>AURORAPREMIUMCATTLE</t>
  </si>
  <si>
    <t>KIMMYDELATORRE</t>
  </si>
  <si>
    <t>CHARISSENANO</t>
  </si>
  <si>
    <t>ROMELMANALOJR</t>
  </si>
  <si>
    <t>RUSTICOLAROZA</t>
  </si>
  <si>
    <t>EDWARDKISSER</t>
  </si>
  <si>
    <t>FEEDINGBUCKET</t>
  </si>
  <si>
    <t>BUSYJ.AGRISUPPLY</t>
  </si>
  <si>
    <t>ARNEILJULIUSA.CANAS</t>
  </si>
  <si>
    <t>TEATDIPCUP</t>
  </si>
  <si>
    <t>NIECACABAHUG</t>
  </si>
  <si>
    <t>JOSEMARIAALINDOGAN</t>
  </si>
  <si>
    <t>JUNJUNPAGALING</t>
  </si>
  <si>
    <t>JAYNOLBAROTE</t>
  </si>
  <si>
    <t>MARINAMINDANAO</t>
  </si>
  <si>
    <t>MICHAELDERAMOS</t>
  </si>
  <si>
    <t>D.S278</t>
  </si>
  <si>
    <t>RANDYVALERIO</t>
  </si>
  <si>
    <t>ELVINOBALICAO</t>
  </si>
  <si>
    <t>RENALYNYARANONDULATRE</t>
  </si>
  <si>
    <t>JON-JONAQUINO</t>
  </si>
  <si>
    <t>EVELYNLUMINATE</t>
  </si>
  <si>
    <t>SAMANTHASALVALEON</t>
  </si>
  <si>
    <t>JURETBULONGON</t>
  </si>
  <si>
    <t>RENZODANIELDELACRUZ</t>
  </si>
  <si>
    <t>TOCOSELENIO</t>
  </si>
  <si>
    <t>CRISANTOMENDOZA</t>
  </si>
  <si>
    <t>RHONAMAYMOCORRO</t>
  </si>
  <si>
    <t>DAISYLABAO</t>
  </si>
  <si>
    <t>MARIAJESICA</t>
  </si>
  <si>
    <t>ARWINALCARAZ</t>
  </si>
  <si>
    <t>ACEBALDOVINO</t>
  </si>
  <si>
    <t>JOYCHAOKOS</t>
  </si>
  <si>
    <t>JONALYNTRUMPO</t>
  </si>
  <si>
    <t>THELMAJOYPALMAGIL</t>
  </si>
  <si>
    <t>SI0230</t>
  </si>
  <si>
    <t>KANLUNGANDAIRYFARM</t>
  </si>
  <si>
    <t>GILBERTLAROZA</t>
  </si>
  <si>
    <t>RUFINOVALENCIA</t>
  </si>
  <si>
    <t>JERWINMAGNAYE</t>
  </si>
  <si>
    <t>JOHNVILLEGOATFARM</t>
  </si>
  <si>
    <t>YOJIN</t>
  </si>
  <si>
    <t>KARLSILVANO</t>
  </si>
  <si>
    <t>KATHRINADELACRUZ</t>
  </si>
  <si>
    <t>DANISEYU</t>
  </si>
  <si>
    <t>ELYZAJADEGERONA</t>
  </si>
  <si>
    <t>FELINOOLIVERAPOR</t>
  </si>
  <si>
    <t>DR.MARYGRACEMANGUBA</t>
  </si>
  <si>
    <t>SI0231</t>
  </si>
  <si>
    <t>JEFFREYVERANOGAMALI</t>
  </si>
  <si>
    <t>JOSEPHCARREON</t>
  </si>
  <si>
    <t>GRAPHITEVANESFORPORTABLEMILKINGMACHINEFORCOW(4.90X43.00X80MM)</t>
  </si>
  <si>
    <t>DARYLMARKCASTROCAPINPIN</t>
  </si>
  <si>
    <t>VENUSABDON</t>
  </si>
  <si>
    <t>JOCELYNBACUS</t>
  </si>
  <si>
    <t>SI0233</t>
  </si>
  <si>
    <t>LMISDNINCORPORATED</t>
  </si>
  <si>
    <t>SHAOTAYAG</t>
  </si>
  <si>
    <t>MARLYNCANCEJO</t>
  </si>
  <si>
    <t>JAIRUSRINOELS.MARASIGAN</t>
  </si>
  <si>
    <t>CHRISTYMAEVISITACION</t>
  </si>
  <si>
    <t>DENNISJOHNSONBUENAS</t>
  </si>
  <si>
    <t>JEFFREYVERNAOGAMALI</t>
  </si>
  <si>
    <t>CREZELZAPANTA</t>
  </si>
  <si>
    <t>JAMESRIX</t>
  </si>
  <si>
    <t>RICOREYES</t>
  </si>
  <si>
    <t>net of vat</t>
  </si>
  <si>
    <t>vat exempt</t>
  </si>
  <si>
    <t>costing</t>
  </si>
  <si>
    <t>salaries</t>
  </si>
  <si>
    <t>MARIFERABINA</t>
  </si>
  <si>
    <t>ANAMARIESALANIO</t>
  </si>
  <si>
    <t>GLENBANOGON</t>
  </si>
  <si>
    <t>OPONGKADILE</t>
  </si>
  <si>
    <t>JERICHOANTONIOCONSULTA</t>
  </si>
  <si>
    <t>REGINASANTOS</t>
  </si>
  <si>
    <t>EMARCUSTODIO</t>
  </si>
  <si>
    <t>2GOEXPRESS</t>
  </si>
  <si>
    <t>NILOBATINGA</t>
  </si>
  <si>
    <t>LANCEBAZAR</t>
  </si>
  <si>
    <t>CESCASAS</t>
  </si>
  <si>
    <t>NOVELINAGAPITOBAGOTE</t>
  </si>
  <si>
    <t>JERILYNHONGHONG</t>
  </si>
  <si>
    <t>R0193</t>
  </si>
  <si>
    <t>DENNISCASTASUS</t>
  </si>
  <si>
    <t>SHUTOFFVALVEGASKET</t>
  </si>
  <si>
    <t>PULSATORFORCOWS</t>
  </si>
  <si>
    <t>JOHNANDREWM.RUSELL</t>
  </si>
  <si>
    <t>MARKKEVINFACTOR</t>
  </si>
  <si>
    <t>LEOMARGARITO</t>
  </si>
  <si>
    <t>BRENTESTRELLA</t>
  </si>
  <si>
    <t>SI0235</t>
  </si>
  <si>
    <t>ARBATINLIVESTOCKFARM</t>
  </si>
  <si>
    <t>BRGYLIGAYA,SABLAYAN,OCCMINDORO</t>
  </si>
  <si>
    <t>SI0237</t>
  </si>
  <si>
    <t>JEOAXBREEDINGFARM</t>
  </si>
  <si>
    <t>DUFAMOXG</t>
  </si>
  <si>
    <t>7BOTS</t>
  </si>
  <si>
    <t>JUVENDELACRUZ</t>
  </si>
  <si>
    <t>RAMILRAMIREZ</t>
  </si>
  <si>
    <t>GILBERTUNTALAN</t>
  </si>
  <si>
    <t>ERLINDAMERCADER</t>
  </si>
  <si>
    <t>LLYODCABASIS</t>
  </si>
  <si>
    <t>MACMACRARO</t>
  </si>
  <si>
    <t>PAULBRANDONBALICHA</t>
  </si>
  <si>
    <t>MARKRAMOS</t>
  </si>
  <si>
    <t>SI0238</t>
  </si>
  <si>
    <t>SI0239</t>
  </si>
  <si>
    <t>YLIEAHBIGCAS</t>
  </si>
  <si>
    <t>T8KPETSUPPLIES</t>
  </si>
  <si>
    <t>JEROMEBUSTARDE</t>
  </si>
  <si>
    <t>MELAYPASCUAL</t>
  </si>
  <si>
    <t>R194</t>
  </si>
  <si>
    <t>CALOYCENTERA</t>
  </si>
  <si>
    <t>FRANCOLAZARO</t>
  </si>
  <si>
    <t>HERMANCOEDNO</t>
  </si>
  <si>
    <t>NESTORMAGDAYAO</t>
  </si>
  <si>
    <t>1KG</t>
  </si>
  <si>
    <t>SI0232</t>
  </si>
  <si>
    <t>TIERRADELSURFARMINC</t>
  </si>
  <si>
    <t>TATA'SAGRI</t>
  </si>
  <si>
    <t>LOUISVINCEGUANTERO</t>
  </si>
  <si>
    <t>BOBBYSABANG</t>
  </si>
  <si>
    <t>ROELLATAGAN</t>
  </si>
  <si>
    <t>RICOMENDIOLA</t>
  </si>
  <si>
    <t>JAYSONDECASTRO</t>
  </si>
  <si>
    <t>CHINOMENDOZA</t>
  </si>
  <si>
    <t>SHARMAINEANNED.DELOSREYES</t>
  </si>
  <si>
    <t>MARLENEALCANTARA</t>
  </si>
  <si>
    <t>NICCOLO-PAOLOMUERTEGUI</t>
  </si>
  <si>
    <t>RAYMARTPAULMINA</t>
  </si>
  <si>
    <t>REYMANONSON</t>
  </si>
  <si>
    <t>SUSANNAA.MACAROY</t>
  </si>
  <si>
    <t>MICHAELSAVELLANO</t>
  </si>
  <si>
    <t>ALLANDELACRUZ</t>
  </si>
  <si>
    <t>TERESITAONDOY</t>
  </si>
  <si>
    <t>SI241</t>
  </si>
  <si>
    <t>STREAMFLOWTRADINGANDGENERALSERVICES</t>
  </si>
  <si>
    <t>DR#5CORNELIOBLDGRAMONCAVESST.CAGAYANDEOROCITY</t>
  </si>
  <si>
    <t>30LITMILKCAN</t>
  </si>
  <si>
    <t>VYCHANCORTES</t>
  </si>
  <si>
    <t>SI0242</t>
  </si>
  <si>
    <t>LUISITOT.SALINASJR.</t>
  </si>
  <si>
    <t>RONALDDELOSSANTOS</t>
  </si>
  <si>
    <t>ROMELMANALOJR.</t>
  </si>
  <si>
    <t>ZENLAGASCA</t>
  </si>
  <si>
    <t>CREASANNIEGALLARDE</t>
  </si>
  <si>
    <t>JOEDVASQUEZ</t>
  </si>
  <si>
    <t>JONALYNLADRINGAN</t>
  </si>
  <si>
    <t>JOYEMPAYNADO</t>
  </si>
  <si>
    <t>QUEENIRAMIREZ</t>
  </si>
  <si>
    <t>YANAHLALUSIS</t>
  </si>
  <si>
    <t>JOHNMARTTALANDRATA</t>
  </si>
  <si>
    <t>CHARLIEALAGAR</t>
  </si>
  <si>
    <t>REPAIRKIT</t>
  </si>
  <si>
    <t>CHRISTOPHERHAMILI</t>
  </si>
  <si>
    <t>SYLVESTERAYING</t>
  </si>
  <si>
    <t>ANGELLOUBRUNA</t>
  </si>
  <si>
    <t>KURTCHENG</t>
  </si>
  <si>
    <t>JERLIELEONOR</t>
  </si>
  <si>
    <t>MA.CRISTINABERNADETTEABRIAM</t>
  </si>
  <si>
    <t>R195</t>
  </si>
  <si>
    <t>SI0243</t>
  </si>
  <si>
    <t>MANDALUYONGCITY</t>
  </si>
  <si>
    <t>JOSEPHDURAN</t>
  </si>
  <si>
    <t>GERALDCARAAN</t>
  </si>
  <si>
    <t>DICKMILLORA</t>
  </si>
  <si>
    <t>ALISONJAROMESGUERRA</t>
  </si>
  <si>
    <t>VICA.ALBARILLO</t>
  </si>
  <si>
    <t>ERROMGENTICA</t>
  </si>
  <si>
    <t>RICHARDL.NIMER</t>
  </si>
  <si>
    <t>DANBARROS-GARGAR</t>
  </si>
  <si>
    <t>SI0244</t>
  </si>
  <si>
    <t>PHILAMERB.DISTURA</t>
  </si>
  <si>
    <t>CIUNARSARADOL</t>
  </si>
  <si>
    <t>ARNEILJULIUSCAÑAS</t>
  </si>
  <si>
    <t>JULIETAMAGNAYE</t>
  </si>
  <si>
    <t>MARIALEEROILES</t>
  </si>
  <si>
    <t>R0197</t>
  </si>
  <si>
    <t>SI0245</t>
  </si>
  <si>
    <t>AGRI-JOYDAIRYANDAGRIVENTURESINC</t>
  </si>
  <si>
    <t>R0198</t>
  </si>
  <si>
    <t>MICHAELSINLAO</t>
  </si>
  <si>
    <t>JAYHENORA</t>
  </si>
  <si>
    <t>GEMMASASUTONA</t>
  </si>
  <si>
    <t>1st quarter 2026</t>
  </si>
  <si>
    <t>2nd quarter 2026</t>
  </si>
  <si>
    <t>MARIALORETARULEUY</t>
  </si>
  <si>
    <t>APRILJOHNLAYOS</t>
  </si>
  <si>
    <t>DIANAPELOVEGA</t>
  </si>
  <si>
    <t>JAMAICAPERUNABAUTISTA</t>
  </si>
  <si>
    <t>ALAINDWIGHTP.BITERA</t>
  </si>
  <si>
    <t>ELYZELROMERO</t>
  </si>
  <si>
    <t>JORMALYNCANTIL</t>
  </si>
  <si>
    <t>MELODYLABTANG</t>
  </si>
  <si>
    <t>500G</t>
  </si>
  <si>
    <t>MAYR.GUEVARRA</t>
  </si>
  <si>
    <t>EDILYNMAURICO</t>
  </si>
  <si>
    <t>CRISTINEDELACRUZ</t>
  </si>
  <si>
    <t>MARACHELGASPAR</t>
  </si>
  <si>
    <t>JONALYNGALLEON</t>
  </si>
  <si>
    <t>LEANORLANDICHO</t>
  </si>
  <si>
    <t>JULIUSNULLAR</t>
  </si>
  <si>
    <t>BRYANAZUTE</t>
  </si>
  <si>
    <t>MARIALORETOSIA</t>
  </si>
  <si>
    <t>DS0284/SHOPEE</t>
  </si>
  <si>
    <t>MARIOTADILI</t>
  </si>
  <si>
    <t>EDGARDOTADEO</t>
  </si>
  <si>
    <t>JEROLDCAHUMNAS</t>
  </si>
  <si>
    <t>MAYETBERNAL</t>
  </si>
  <si>
    <t>ISMAELG.ESTELAJR.</t>
  </si>
  <si>
    <t>RYANJOSUAJAMAGO</t>
  </si>
  <si>
    <t>10KG</t>
  </si>
  <si>
    <t>FAILEDDELIVERY</t>
  </si>
  <si>
    <t>FREDERICKJONSULABO</t>
  </si>
  <si>
    <t>ALEXAMAMASIG</t>
  </si>
  <si>
    <t>VHERFAJARDO</t>
  </si>
  <si>
    <t>HERBERTHONGAYO</t>
  </si>
  <si>
    <t>REGIEBERTFLORENDO</t>
  </si>
  <si>
    <t>YLEATSITUÀBDZURC</t>
  </si>
  <si>
    <t>MARJORIDACAMPANIEL</t>
  </si>
  <si>
    <t>PAORAMOS</t>
  </si>
  <si>
    <t>APRILMETANTE</t>
  </si>
  <si>
    <t>BUSYJAGRISUPPLY</t>
  </si>
  <si>
    <t>JANETHOLIQUIANO</t>
  </si>
  <si>
    <t>SUNSHINEARBILON</t>
  </si>
  <si>
    <t>GRAHAMQ.PALAMINE</t>
  </si>
  <si>
    <t>FRANCESCAMILLEA.PALAMINE</t>
  </si>
  <si>
    <t>EMERSONEMNACE</t>
  </si>
  <si>
    <t>SI0248</t>
  </si>
  <si>
    <t>SORO-SOROIBABABATANGASCITY</t>
  </si>
  <si>
    <t>TEATCUPSHELLFORCOWS</t>
  </si>
  <si>
    <t>LITOILAO</t>
  </si>
  <si>
    <t>PAOLOEDULLAN</t>
  </si>
  <si>
    <t>JOCELYNBENTE</t>
  </si>
  <si>
    <t>EVELYNDANAO</t>
  </si>
  <si>
    <t>CYNTHIAMAED.ARCANGEL</t>
  </si>
  <si>
    <t>CHAIGLECIEBEBIRO</t>
  </si>
  <si>
    <t>RICARDOR.GAY-YA</t>
  </si>
  <si>
    <t>KEVINA.INSONG</t>
  </si>
  <si>
    <t>RODEL/CHRISTINEGUIRA</t>
  </si>
  <si>
    <t>NIKOLAISANCHEZ</t>
  </si>
  <si>
    <t>AIGONZALES</t>
  </si>
  <si>
    <t>VICESPINOSA</t>
  </si>
  <si>
    <t>BERNARDINOURCIA</t>
  </si>
  <si>
    <t>GEMSUNMARKETING</t>
  </si>
  <si>
    <t>PHILIP(LAUREL)</t>
  </si>
  <si>
    <t>SI0249</t>
  </si>
  <si>
    <t>UNAHCOINC</t>
  </si>
  <si>
    <t>DS0285</t>
  </si>
  <si>
    <t>DOCLOUIECAGUIMBAL</t>
  </si>
  <si>
    <t>MAYGUEVARRA</t>
  </si>
  <si>
    <t>AIRISHHENORA</t>
  </si>
  <si>
    <t>OLIVERCAMPORAZO</t>
  </si>
  <si>
    <t>LANCEYU</t>
  </si>
  <si>
    <t>LYKAABELILLA</t>
  </si>
  <si>
    <t>SI0250</t>
  </si>
  <si>
    <t>NATIONALDAIRYAUTHORITYNMD</t>
  </si>
  <si>
    <t>NORIELNOLASCODIAZ</t>
  </si>
  <si>
    <t>WARLINEROCINA</t>
  </si>
  <si>
    <t>MARKALLENBACULI</t>
  </si>
  <si>
    <t>APRILROSESANTOSPADUA</t>
  </si>
  <si>
    <t>MICHELLEMILES</t>
  </si>
  <si>
    <t>MELINDABANGA-AN</t>
  </si>
  <si>
    <t>BRYANLOUIENAPICOG</t>
  </si>
  <si>
    <t>BENEDICTDADUYO</t>
  </si>
  <si>
    <t>ALANDWIGHTP.BITERA</t>
  </si>
  <si>
    <t>MARIEBALID</t>
  </si>
  <si>
    <t>GARYRUSHMER</t>
  </si>
  <si>
    <t>SI0251</t>
  </si>
  <si>
    <t>BERNARDCLINTONLAGAHIT</t>
  </si>
  <si>
    <t>KIMWELLSONIO</t>
  </si>
  <si>
    <t>JOSEPHSANTISTEBAN</t>
  </si>
  <si>
    <t>ALLENMAELAGMAN</t>
  </si>
  <si>
    <t>SI0252</t>
  </si>
  <si>
    <t>MARTINGOMEZ</t>
  </si>
  <si>
    <t>RICKYGANDEZA</t>
  </si>
  <si>
    <t>WILMALUCIOALBACINO</t>
  </si>
  <si>
    <t>TUBALADOJHONPETER</t>
  </si>
  <si>
    <t>SHARMINAGUISANDA-TUTTUH</t>
  </si>
  <si>
    <t>SI0255</t>
  </si>
  <si>
    <t>SI0256</t>
  </si>
  <si>
    <t>MENCHUGALOS</t>
  </si>
  <si>
    <t>MARIACASTILLO</t>
  </si>
  <si>
    <t>CATHERINED.LOZADA</t>
  </si>
  <si>
    <t>JAREDANDRELABORA</t>
  </si>
  <si>
    <t>MHEOESGUERA</t>
  </si>
  <si>
    <t>CRISTINAADAD</t>
  </si>
  <si>
    <t>JOVIEMARCIANO</t>
  </si>
  <si>
    <t>JEOAXDAIRYFARM</t>
  </si>
  <si>
    <t>SI0257</t>
  </si>
  <si>
    <t>DIPOLOGHANSMARKETING</t>
  </si>
  <si>
    <t>10LITMILKCAN</t>
  </si>
  <si>
    <t>FLORDELIZAONG</t>
  </si>
  <si>
    <t>RITCHIENULLAR</t>
  </si>
  <si>
    <t>EDZCONDINATO</t>
  </si>
  <si>
    <t>SIEWATECHAP</t>
  </si>
  <si>
    <t>ANECITAABING</t>
  </si>
  <si>
    <t>DS0287/SHOPEE</t>
  </si>
  <si>
    <t>BENEDICTT.DADUYO</t>
  </si>
  <si>
    <t>GRASHIELAVARGAS</t>
  </si>
  <si>
    <t>SI0258</t>
  </si>
  <si>
    <t>SI0275</t>
  </si>
  <si>
    <t>JESRELORTIZEDRAIRA</t>
  </si>
  <si>
    <t>JOHNNATHAN</t>
  </si>
  <si>
    <t>JERICOORENA</t>
  </si>
  <si>
    <t>R0203</t>
  </si>
  <si>
    <t>JANINEMARISPABILLAR</t>
  </si>
  <si>
    <t>PETERMARCVICENO</t>
  </si>
  <si>
    <t>LEOPOLDOG.FAJELAGMAGO</t>
  </si>
  <si>
    <t>CHOPITCHRINLICAMACHO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</si>
</sst>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₱&quot;#,##0.00_);[Red]\(&quot;₱&quot;#,##0.00\)"/>
    <numFmt numFmtId="165" formatCode="_(* #,##0_);_(* \(#,##0\);_(* &quot;-&quot;_);_(@_)"/>
    <numFmt numFmtId="166" formatCode="_(* #,##0.00_);_(* \(#,##0.00\);_(* &quot;-&quot;??_);_(@_)"/>
    <numFmt numFmtId="167" formatCode="_-\₱* #,##0.00_-;\-\₱* #,##0.00_-;_-\₱* &quot;-&quot;??_-;_-@_-"/>
    <numFmt numFmtId="168" formatCode="0.0000"/>
    <numFmt numFmtId="169" formatCode="dd\ mmm\ yyyy"/>
    <numFmt numFmtId="170" formatCode="#,##0.00;\(#,##0.00\)"/>
  </numFmts>
  <fonts count="19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color theme="1"/>
      <name val="Book Antiqua"/>
      <family val="1"/>
    </font>
    <font>
      <b/>
      <sz val="10"/>
      <color rgb="FFFF0000"/>
      <name val="Book Antiqua"/>
      <family val="1"/>
    </font>
    <font>
      <sz val="10"/>
      <color theme="1"/>
      <name val="Arial"/>
      <family val="2"/>
    </font>
    <font>
      <b/>
      <sz val="10"/>
      <color theme="1"/>
      <name val="Book Antiqua"/>
      <family val="1"/>
    </font>
    <font>
      <sz val="11"/>
      <color theme="1"/>
      <name val="Book Antiqua"/>
      <family val="1"/>
    </font>
    <font>
      <b/>
      <i/>
      <sz val="11"/>
      <color rgb="FFFF0000"/>
      <name val="Book Antiqua"/>
      <family val="1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Book Antiqua"/>
      <family val="1"/>
    </font>
    <font>
      <b/>
      <sz val="10"/>
      <color theme="1"/>
      <name val="Calibri"/>
      <family val="2"/>
    </font>
    <font>
      <b/>
      <sz val="11"/>
      <color theme="1"/>
      <name val="Book Antiqua"/>
      <family val="1"/>
    </font>
    <font>
      <sz val="11"/>
      <color rgb="FF000000"/>
      <name val="Book Antiqua"/>
      <family val="1"/>
    </font>
    <font>
      <b/>
      <i/>
      <sz val="11"/>
      <name val="Book Antiqua"/>
      <family val="1"/>
    </font>
    <font>
      <sz val="10"/>
      <name val="Arial"/>
      <family val="2"/>
    </font>
    <font>
      <sz val="11"/>
      <name val="Book Antiqua"/>
      <family val="1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F3E6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167" fontId="2" fillId="2" borderId="0" xfId="0" applyNumberFormat="1" applyFont="1" applyFill="1"/>
    <xf numFmtId="0" fontId="0" fillId="2" borderId="0" xfId="0" applyFill="1"/>
    <xf numFmtId="167" fontId="0" fillId="2" borderId="0" xfId="0" applyNumberFormat="1" applyFill="1"/>
    <xf numFmtId="4" fontId="0" fillId="0" borderId="0" xfId="0" applyNumberFormat="1"/>
    <xf numFmtId="15" fontId="3" fillId="0" borderId="0" xfId="0" applyNumberFormat="1" applyFont="1"/>
    <xf numFmtId="15" fontId="4" fillId="0" borderId="0" xfId="0" applyNumberFormat="1" applyFont="1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6" fillId="0" borderId="0" xfId="0" applyFont="1"/>
    <xf numFmtId="4" fontId="3" fillId="0" borderId="0" xfId="0" applyNumberFormat="1" applyFont="1"/>
    <xf numFmtId="15" fontId="7" fillId="0" borderId="0" xfId="0" applyNumberFormat="1" applyFont="1"/>
    <xf numFmtId="15" fontId="8" fillId="0" borderId="0" xfId="0" applyNumberFormat="1" applyFont="1"/>
    <xf numFmtId="0" fontId="7" fillId="0" borderId="0" xfId="0" applyFont="1"/>
    <xf numFmtId="0" fontId="8" fillId="0" borderId="0" xfId="0" applyFont="1"/>
    <xf numFmtId="4" fontId="7" fillId="0" borderId="0" xfId="0" applyNumberFormat="1" applyFont="1"/>
    <xf numFmtId="4" fontId="8" fillId="0" borderId="0" xfId="0" applyNumberFormat="1" applyFont="1"/>
    <xf numFmtId="0" fontId="9" fillId="0" borderId="0" xfId="0" applyFont="1"/>
    <xf numFmtId="0" fontId="10" fillId="0" borderId="0" xfId="0" applyFont="1"/>
    <xf numFmtId="168" fontId="0" fillId="0" borderId="0" xfId="0" applyNumberFormat="1"/>
    <xf numFmtId="168" fontId="3" fillId="0" borderId="0" xfId="0" applyNumberFormat="1" applyFont="1"/>
    <xf numFmtId="15" fontId="6" fillId="0" borderId="0" xfId="0" applyNumberFormat="1" applyFont="1"/>
    <xf numFmtId="15" fontId="11" fillId="0" borderId="0" xfId="0" applyNumberFormat="1" applyFont="1"/>
    <xf numFmtId="0" fontId="11" fillId="0" borderId="0" xfId="0" applyFont="1"/>
    <xf numFmtId="0" fontId="12" fillId="0" borderId="0" xfId="0" applyFont="1"/>
    <xf numFmtId="15" fontId="5" fillId="0" borderId="0" xfId="0" applyNumberFormat="1" applyFont="1"/>
    <xf numFmtId="164" fontId="5" fillId="0" borderId="0" xfId="0" applyNumberFormat="1" applyFont="1"/>
    <xf numFmtId="165" fontId="13" fillId="3" borderId="0" xfId="0" applyNumberFormat="1" applyFont="1" applyFill="1" applyAlignment="1">
      <alignment horizontal="left" vertical="center" wrapText="1"/>
    </xf>
    <xf numFmtId="169" fontId="7" fillId="3" borderId="0" xfId="0" applyNumberFormat="1" applyFont="1" applyFill="1" applyAlignment="1">
      <alignment horizontal="right" vertical="center"/>
    </xf>
    <xf numFmtId="0" fontId="7" fillId="3" borderId="0" xfId="0" applyFont="1" applyFill="1" applyAlignment="1">
      <alignment horizontal="left" vertical="center"/>
    </xf>
    <xf numFmtId="49" fontId="7" fillId="3" borderId="0" xfId="0" applyNumberFormat="1" applyFont="1" applyFill="1" applyAlignment="1">
      <alignment horizontal="left" vertical="center"/>
    </xf>
    <xf numFmtId="4" fontId="7" fillId="3" borderId="0" xfId="0" applyNumberFormat="1" applyFont="1" applyFill="1" applyAlignment="1">
      <alignment horizontal="right" vertical="center"/>
    </xf>
    <xf numFmtId="170" fontId="7" fillId="3" borderId="0" xfId="0" applyNumberFormat="1" applyFont="1" applyFill="1" applyAlignment="1">
      <alignment horizontal="right" vertical="center"/>
    </xf>
    <xf numFmtId="166" fontId="14" fillId="3" borderId="0" xfId="0" applyNumberFormat="1" applyFont="1" applyFill="1" applyAlignment="1">
      <alignment horizontal="right" vertical="center"/>
    </xf>
    <xf numFmtId="0" fontId="14" fillId="3" borderId="0" xfId="0" applyFont="1" applyFill="1" applyAlignment="1">
      <alignment horizontal="right" vertical="center"/>
    </xf>
    <xf numFmtId="0" fontId="14" fillId="3" borderId="0" xfId="0" applyFont="1" applyFill="1" applyAlignment="1">
      <alignment horizontal="left" vertical="center"/>
    </xf>
    <xf numFmtId="49" fontId="14" fillId="3" borderId="0" xfId="0" applyNumberFormat="1" applyFont="1" applyFill="1" applyAlignment="1">
      <alignment horizontal="left" vertical="center"/>
    </xf>
    <xf numFmtId="166" fontId="14" fillId="3" borderId="0" xfId="0" applyNumberFormat="1" applyFont="1" applyFill="1" applyAlignment="1">
      <alignment horizontal="right" vertical="center" wrapText="1"/>
    </xf>
    <xf numFmtId="1" fontId="0" fillId="0" borderId="0" xfId="0" applyNumberFormat="1"/>
    <xf numFmtId="1" fontId="7" fillId="0" borderId="0" xfId="0" applyNumberFormat="1" applyFont="1"/>
    <xf numFmtId="1" fontId="5" fillId="0" borderId="0" xfId="0" applyNumberFormat="1" applyFont="1"/>
    <xf numFmtId="1" fontId="7" fillId="3" borderId="0" xfId="0" applyNumberFormat="1" applyFont="1" applyFill="1" applyAlignment="1">
      <alignment horizontal="left" vertical="center"/>
    </xf>
    <xf numFmtId="15" fontId="15" fillId="0" borderId="0" xfId="0" applyNumberFormat="1" applyFont="1"/>
    <xf numFmtId="0" fontId="15" fillId="0" borderId="0" xfId="0" applyFont="1"/>
    <xf numFmtId="1" fontId="16" fillId="0" borderId="0" xfId="0" applyNumberFormat="1" applyFont="1"/>
    <xf numFmtId="0" fontId="16" fillId="0" borderId="0" xfId="0" applyFont="1"/>
    <xf numFmtId="0" fontId="17" fillId="0" borderId="0" xfId="0" applyFont="1"/>
    <xf numFmtId="4" fontId="15" fillId="0" borderId="0" xfId="0" applyNumberFormat="1" applyFont="1"/>
    <xf numFmtId="4" fontId="18" fillId="0" borderId="0" xfId="0" applyNumberFormat="1" applyFont="1"/>
    <xf numFmtId="0" fontId="18" fillId="0" borderId="0" xfId="0" applyFont="1"/>
    <xf numFmtId="164" fontId="0" fillId="0" borderId="0" xfId="0" applyNumberFormat="1"/>
    <xf numFmtId="164" fontId="4" fillId="0" borderId="0" xfId="0" applyNumberFormat="1" applyFont="1"/>
    <xf numFmtId="164" fontId="6" fillId="0" borderId="0" xfId="0" applyNumberFormat="1" applyFont="1"/>
    <xf numFmtId="164" fontId="1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0"/>
  <sheetViews>
    <sheetView topLeftCell="A7" workbookViewId="0">
      <selection activeCell="Q52" sqref="Q52"/>
    </sheetView>
  </sheetViews>
  <sheetFormatPr defaultColWidth="8.77734375" defaultRowHeight="14.4" x14ac:dyDescent="0.3"/>
  <cols>
    <col min="1" max="1" width="37.33203125" bestFit="1" customWidth="1"/>
    <col min="2" max="2" width="19.44140625" customWidth="1"/>
    <col min="6" max="6" width="37.33203125" bestFit="1" customWidth="1"/>
    <col min="7" max="7" width="18.33203125" customWidth="1"/>
    <col min="11" max="11" width="37.33203125" bestFit="1" customWidth="1"/>
    <col min="12" max="12" width="17.6640625" customWidth="1"/>
    <col min="16" max="16" width="37.33203125" bestFit="1" customWidth="1"/>
    <col min="17" max="17" width="18.6640625" customWidth="1"/>
  </cols>
  <sheetData>
    <row r="1" spans="1:17" s="1" customFormat="1" ht="15.6" x14ac:dyDescent="0.3">
      <c r="A1" s="1" t="s">
        <v>0</v>
      </c>
      <c r="F1" s="1" t="s">
        <v>0</v>
      </c>
      <c r="K1" s="1" t="s">
        <v>0</v>
      </c>
      <c r="P1" s="1" t="s">
        <v>0</v>
      </c>
    </row>
    <row r="2" spans="1:17" s="2" customFormat="1" ht="13.2" x14ac:dyDescent="0.25">
      <c r="A2" s="2" t="s">
        <v>1181</v>
      </c>
      <c r="F2" s="2" t="s">
        <v>884</v>
      </c>
      <c r="K2" s="2" t="s">
        <v>883</v>
      </c>
      <c r="P2" s="2" t="s">
        <v>881</v>
      </c>
    </row>
    <row r="4" spans="1:17" s="2" customFormat="1" x14ac:dyDescent="0.3">
      <c r="A4" s="3" t="s">
        <v>1</v>
      </c>
      <c r="B4" s="6">
        <f>Q4+L4+G4</f>
        <v>5805012.4232856845</v>
      </c>
      <c r="F4" s="3" t="s">
        <v>1</v>
      </c>
      <c r="G4" s="6">
        <f>'MARCH SALES'!L178+'MARCH SALES'!N178</f>
        <v>2074782.4442857143</v>
      </c>
      <c r="K4" s="3" t="s">
        <v>1</v>
      </c>
      <c r="L4" s="6">
        <f>'SALES FEB 2026'!L188+'SALES FEB 2026'!N188</f>
        <v>1473148.1975713999</v>
      </c>
      <c r="P4" s="3" t="s">
        <v>1</v>
      </c>
      <c r="Q4" s="6">
        <f>'SALES JAN 2026'!L186+'SALES JAN 2026'!N186</f>
        <v>2257081.7814285709</v>
      </c>
    </row>
    <row r="5" spans="1:17" x14ac:dyDescent="0.3">
      <c r="A5" s="5" t="s">
        <v>2</v>
      </c>
      <c r="B5" s="55">
        <f>Q5+L5+G5</f>
        <v>4039133.2100000028</v>
      </c>
      <c r="F5" s="5" t="s">
        <v>2</v>
      </c>
      <c r="G5" s="55">
        <f>'MARCH SALES'!P178</f>
        <v>1475611.120000002</v>
      </c>
      <c r="K5" s="5" t="s">
        <v>2</v>
      </c>
      <c r="L5" s="55">
        <f>'SALES FEB 2026'!P188</f>
        <v>987170.07000000018</v>
      </c>
      <c r="P5" s="5" t="s">
        <v>2</v>
      </c>
      <c r="Q5" s="55">
        <f>'SALES JAN 2026'!P186</f>
        <v>1576352.0200000007</v>
      </c>
    </row>
    <row r="7" spans="1:17" s="2" customFormat="1" ht="13.2" x14ac:dyDescent="0.25">
      <c r="A7" s="3" t="s">
        <v>3</v>
      </c>
      <c r="B7" s="4">
        <f>B4-B5</f>
        <v>1765879.2132856818</v>
      </c>
      <c r="F7" s="3" t="s">
        <v>3</v>
      </c>
      <c r="G7" s="4">
        <f>G4-G5</f>
        <v>599171.32428571233</v>
      </c>
      <c r="K7" s="3" t="s">
        <v>3</v>
      </c>
      <c r="L7" s="4">
        <f>L4-L5</f>
        <v>485978.12757139967</v>
      </c>
      <c r="P7" s="3" t="s">
        <v>3</v>
      </c>
      <c r="Q7" s="4">
        <f>Q4-Q5</f>
        <v>680729.76142857014</v>
      </c>
    </row>
    <row r="9" spans="1:17" s="2" customFormat="1" ht="13.2" x14ac:dyDescent="0.25">
      <c r="A9" s="3" t="s">
        <v>4</v>
      </c>
      <c r="F9" s="3" t="s">
        <v>4</v>
      </c>
      <c r="K9" s="3" t="s">
        <v>4</v>
      </c>
      <c r="P9" s="3" t="s">
        <v>4</v>
      </c>
    </row>
    <row r="10" spans="1:17" x14ac:dyDescent="0.3">
      <c r="A10" s="5" t="s">
        <v>5</v>
      </c>
      <c r="B10" s="6">
        <f>Q10+L10+G10</f>
        <v>18174</v>
      </c>
      <c r="F10" s="5" t="s">
        <v>5</v>
      </c>
      <c r="G10" s="6">
        <v>8452</v>
      </c>
      <c r="K10" s="5" t="s">
        <v>5</v>
      </c>
      <c r="L10" s="6">
        <v>1260</v>
      </c>
      <c r="P10" s="5" t="s">
        <v>5</v>
      </c>
      <c r="Q10" s="6">
        <v>8462</v>
      </c>
    </row>
    <row r="11" spans="1:17" x14ac:dyDescent="0.3">
      <c r="A11" s="5" t="s">
        <v>6</v>
      </c>
      <c r="B11" s="6">
        <f t="shared" ref="B11:B25" si="0">Q11+L11+G11</f>
        <v>23261.08</v>
      </c>
      <c r="F11" s="5" t="s">
        <v>6</v>
      </c>
      <c r="G11" s="6">
        <v>12338.32</v>
      </c>
      <c r="K11" s="5" t="s">
        <v>6</v>
      </c>
      <c r="L11" s="6">
        <v>4400</v>
      </c>
      <c r="P11" s="5" t="s">
        <v>6</v>
      </c>
      <c r="Q11" s="6">
        <v>6522.76</v>
      </c>
    </row>
    <row r="12" spans="1:17" x14ac:dyDescent="0.3">
      <c r="A12" s="5" t="s">
        <v>7</v>
      </c>
      <c r="B12" s="6">
        <f t="shared" si="0"/>
        <v>90718</v>
      </c>
      <c r="F12" s="5" t="s">
        <v>7</v>
      </c>
      <c r="G12" s="6">
        <v>84033</v>
      </c>
      <c r="K12" s="5" t="s">
        <v>7</v>
      </c>
      <c r="L12" s="6">
        <v>0</v>
      </c>
      <c r="P12" s="5" t="s">
        <v>7</v>
      </c>
      <c r="Q12" s="6">
        <v>6685</v>
      </c>
    </row>
    <row r="13" spans="1:17" x14ac:dyDescent="0.3">
      <c r="A13" s="5" t="s">
        <v>8</v>
      </c>
      <c r="B13" s="6">
        <f t="shared" si="0"/>
        <v>141048.5</v>
      </c>
      <c r="F13" s="5" t="s">
        <v>8</v>
      </c>
      <c r="G13" s="6">
        <v>53634.5</v>
      </c>
      <c r="K13" s="5" t="s">
        <v>8</v>
      </c>
      <c r="L13" s="6">
        <v>67414</v>
      </c>
      <c r="P13" s="5" t="s">
        <v>8</v>
      </c>
      <c r="Q13" s="6">
        <v>20000</v>
      </c>
    </row>
    <row r="14" spans="1:17" x14ac:dyDescent="0.3">
      <c r="A14" s="5" t="s">
        <v>9</v>
      </c>
      <c r="B14" s="6">
        <f t="shared" si="0"/>
        <v>25350</v>
      </c>
      <c r="F14" s="5" t="s">
        <v>9</v>
      </c>
      <c r="G14" s="6">
        <v>9000</v>
      </c>
      <c r="K14" s="5" t="s">
        <v>9</v>
      </c>
      <c r="L14" s="6">
        <v>16350</v>
      </c>
      <c r="P14" s="5" t="s">
        <v>9</v>
      </c>
      <c r="Q14" s="6">
        <v>0</v>
      </c>
    </row>
    <row r="15" spans="1:17" x14ac:dyDescent="0.3">
      <c r="A15" s="5" t="s">
        <v>10</v>
      </c>
      <c r="B15" s="6">
        <f t="shared" si="0"/>
        <v>120759.74</v>
      </c>
      <c r="F15" s="5" t="s">
        <v>10</v>
      </c>
      <c r="G15" s="6">
        <v>37701.11</v>
      </c>
      <c r="K15" s="5" t="s">
        <v>10</v>
      </c>
      <c r="L15" s="6">
        <v>22839.47</v>
      </c>
      <c r="P15" s="5" t="s">
        <v>10</v>
      </c>
      <c r="Q15" s="6">
        <v>60219.16</v>
      </c>
    </row>
    <row r="16" spans="1:17" x14ac:dyDescent="0.3">
      <c r="A16" s="5" t="s">
        <v>11</v>
      </c>
      <c r="B16" s="6">
        <f t="shared" si="0"/>
        <v>6996</v>
      </c>
      <c r="F16" s="5" t="s">
        <v>11</v>
      </c>
      <c r="G16" s="6">
        <v>1537</v>
      </c>
      <c r="K16" s="5" t="s">
        <v>11</v>
      </c>
      <c r="L16" s="6">
        <v>1813</v>
      </c>
      <c r="P16" s="5" t="s">
        <v>11</v>
      </c>
      <c r="Q16" s="6">
        <v>3646</v>
      </c>
    </row>
    <row r="17" spans="1:17" x14ac:dyDescent="0.3">
      <c r="A17" s="5" t="s">
        <v>12</v>
      </c>
      <c r="B17" s="6">
        <f t="shared" si="0"/>
        <v>4920.62</v>
      </c>
      <c r="F17" s="5" t="s">
        <v>12</v>
      </c>
      <c r="G17" s="6">
        <v>4780.62</v>
      </c>
      <c r="K17" s="5" t="s">
        <v>12</v>
      </c>
      <c r="L17" s="6">
        <v>0</v>
      </c>
      <c r="P17" s="5" t="s">
        <v>12</v>
      </c>
      <c r="Q17" s="6">
        <v>140</v>
      </c>
    </row>
    <row r="18" spans="1:17" x14ac:dyDescent="0.3">
      <c r="A18" s="5" t="s">
        <v>13</v>
      </c>
      <c r="B18" s="6">
        <f t="shared" si="0"/>
        <v>28000</v>
      </c>
      <c r="F18" s="5" t="s">
        <v>13</v>
      </c>
      <c r="G18" s="6">
        <v>28000</v>
      </c>
      <c r="K18" s="5" t="s">
        <v>13</v>
      </c>
      <c r="L18" s="6">
        <v>0</v>
      </c>
      <c r="P18" s="5" t="s">
        <v>13</v>
      </c>
      <c r="Q18" s="6">
        <v>0</v>
      </c>
    </row>
    <row r="19" spans="1:17" x14ac:dyDescent="0.3">
      <c r="A19" s="5" t="s">
        <v>14</v>
      </c>
      <c r="B19" s="6">
        <f t="shared" si="0"/>
        <v>10998</v>
      </c>
      <c r="F19" s="5" t="s">
        <v>14</v>
      </c>
      <c r="G19" s="6">
        <v>1800</v>
      </c>
      <c r="K19" s="5" t="s">
        <v>14</v>
      </c>
      <c r="L19" s="6">
        <v>7903</v>
      </c>
      <c r="P19" s="5" t="s">
        <v>14</v>
      </c>
      <c r="Q19" s="6">
        <v>1295</v>
      </c>
    </row>
    <row r="20" spans="1:17" x14ac:dyDescent="0.3">
      <c r="A20" s="5" t="s">
        <v>15</v>
      </c>
      <c r="B20" s="6">
        <f t="shared" si="0"/>
        <v>116676</v>
      </c>
      <c r="F20" s="5" t="s">
        <v>15</v>
      </c>
      <c r="G20" s="6">
        <v>38892</v>
      </c>
      <c r="K20" s="5" t="s">
        <v>15</v>
      </c>
      <c r="L20" s="6">
        <v>38892</v>
      </c>
      <c r="P20" s="5" t="s">
        <v>15</v>
      </c>
      <c r="Q20" s="6">
        <v>38892</v>
      </c>
    </row>
    <row r="21" spans="1:17" x14ac:dyDescent="0.3">
      <c r="A21" s="5" t="s">
        <v>16</v>
      </c>
      <c r="B21" s="6">
        <f t="shared" si="0"/>
        <v>34711.449999999997</v>
      </c>
      <c r="F21" s="5" t="s">
        <v>16</v>
      </c>
      <c r="G21" s="6">
        <v>0</v>
      </c>
      <c r="K21" s="5" t="s">
        <v>16</v>
      </c>
      <c r="L21" s="6">
        <v>0</v>
      </c>
      <c r="P21" s="5" t="s">
        <v>16</v>
      </c>
      <c r="Q21" s="6">
        <v>34711.449999999997</v>
      </c>
    </row>
    <row r="22" spans="1:17" x14ac:dyDescent="0.3">
      <c r="A22" s="5" t="s">
        <v>17</v>
      </c>
      <c r="B22" s="6">
        <f t="shared" si="0"/>
        <v>44164</v>
      </c>
      <c r="F22" s="5" t="s">
        <v>17</v>
      </c>
      <c r="G22" s="6">
        <v>44164</v>
      </c>
      <c r="K22" s="5" t="s">
        <v>17</v>
      </c>
      <c r="L22" s="6">
        <v>0</v>
      </c>
      <c r="P22" s="5" t="s">
        <v>17</v>
      </c>
      <c r="Q22" s="6">
        <v>0</v>
      </c>
    </row>
    <row r="23" spans="1:17" x14ac:dyDescent="0.3">
      <c r="A23" s="5" t="s">
        <v>18</v>
      </c>
      <c r="B23" s="6">
        <f t="shared" si="0"/>
        <v>0</v>
      </c>
      <c r="F23" s="5" t="s">
        <v>18</v>
      </c>
      <c r="G23" s="6">
        <v>0</v>
      </c>
      <c r="K23" s="5" t="s">
        <v>18</v>
      </c>
      <c r="L23" s="6">
        <v>0</v>
      </c>
      <c r="P23" s="5" t="s">
        <v>18</v>
      </c>
      <c r="Q23" s="6">
        <v>0</v>
      </c>
    </row>
    <row r="24" spans="1:17" x14ac:dyDescent="0.3">
      <c r="A24" s="5" t="s">
        <v>19</v>
      </c>
      <c r="B24" s="6">
        <f t="shared" si="0"/>
        <v>0</v>
      </c>
      <c r="F24" s="5" t="s">
        <v>19</v>
      </c>
      <c r="G24" s="6">
        <v>0</v>
      </c>
      <c r="K24" s="5" t="s">
        <v>19</v>
      </c>
      <c r="L24" s="6">
        <v>0</v>
      </c>
      <c r="P24" s="5" t="s">
        <v>19</v>
      </c>
      <c r="Q24" s="6">
        <v>0</v>
      </c>
    </row>
    <row r="25" spans="1:17" x14ac:dyDescent="0.3">
      <c r="A25" s="5" t="s">
        <v>20</v>
      </c>
      <c r="B25" s="6">
        <f t="shared" si="0"/>
        <v>0</v>
      </c>
      <c r="F25" s="5" t="s">
        <v>20</v>
      </c>
      <c r="G25" s="6">
        <v>0</v>
      </c>
      <c r="K25" s="5" t="s">
        <v>20</v>
      </c>
      <c r="L25" s="6">
        <v>0</v>
      </c>
      <c r="P25" s="5" t="s">
        <v>20</v>
      </c>
      <c r="Q25" s="6">
        <v>0</v>
      </c>
    </row>
    <row r="26" spans="1:17" s="2" customFormat="1" ht="13.2" x14ac:dyDescent="0.25">
      <c r="A26" s="3" t="s">
        <v>21</v>
      </c>
      <c r="B26" s="4">
        <f>SUM(B10:B25)</f>
        <v>665777.3899999999</v>
      </c>
      <c r="F26" s="3" t="s">
        <v>21</v>
      </c>
      <c r="G26" s="4">
        <f>SUM(G10:G25)</f>
        <v>324332.55</v>
      </c>
      <c r="K26" s="3" t="s">
        <v>21</v>
      </c>
      <c r="L26" s="4">
        <f>SUM(L10:L25)</f>
        <v>160871.47</v>
      </c>
      <c r="P26" s="3" t="s">
        <v>21</v>
      </c>
      <c r="Q26" s="4">
        <f>SUM(Q10:Q25)</f>
        <v>180573.37</v>
      </c>
    </row>
    <row r="28" spans="1:17" s="2" customFormat="1" ht="13.2" x14ac:dyDescent="0.25">
      <c r="A28" s="3" t="s">
        <v>22</v>
      </c>
      <c r="B28" s="4">
        <f>B7-B26</f>
        <v>1100101.8232856819</v>
      </c>
      <c r="F28" s="3" t="s">
        <v>22</v>
      </c>
      <c r="G28" s="4">
        <f>G7-G26</f>
        <v>274838.77428571234</v>
      </c>
      <c r="K28" s="3" t="s">
        <v>22</v>
      </c>
      <c r="L28" s="4">
        <f>L7-L26</f>
        <v>325106.6575713997</v>
      </c>
      <c r="P28" s="3" t="s">
        <v>22</v>
      </c>
      <c r="Q28" s="4">
        <f>Q7-Q26</f>
        <v>500156.39142857015</v>
      </c>
    </row>
    <row r="29" spans="1:17" s="2" customFormat="1" ht="13.2" x14ac:dyDescent="0.25">
      <c r="A29" s="3" t="s">
        <v>828</v>
      </c>
      <c r="B29" s="4">
        <f>G29+L29+Q29</f>
        <v>220389.74</v>
      </c>
      <c r="F29" s="3" t="s">
        <v>828</v>
      </c>
      <c r="G29" s="4"/>
      <c r="K29" s="3" t="s">
        <v>828</v>
      </c>
      <c r="L29" s="4"/>
      <c r="P29" s="3" t="s">
        <v>828</v>
      </c>
      <c r="Q29" s="4">
        <v>220389.74</v>
      </c>
    </row>
    <row r="30" spans="1:17" x14ac:dyDescent="0.3">
      <c r="A30" s="5" t="s">
        <v>23</v>
      </c>
      <c r="B30" s="6">
        <f>G30+L30+Q30</f>
        <v>0</v>
      </c>
      <c r="F30" s="5" t="s">
        <v>23</v>
      </c>
      <c r="G30" s="6">
        <v>0</v>
      </c>
      <c r="K30" s="5" t="s">
        <v>23</v>
      </c>
      <c r="L30" s="6">
        <v>0</v>
      </c>
      <c r="P30" s="5" t="s">
        <v>23</v>
      </c>
      <c r="Q30" s="6">
        <v>0</v>
      </c>
    </row>
    <row r="31" spans="1:17" s="2" customFormat="1" ht="13.2" x14ac:dyDescent="0.25">
      <c r="A31" s="3" t="s">
        <v>24</v>
      </c>
      <c r="B31" s="4">
        <f>B28+B29-B30</f>
        <v>1320491.5632856819</v>
      </c>
      <c r="F31" s="3" t="s">
        <v>24</v>
      </c>
      <c r="G31" s="4">
        <f>G28+G29-G30</f>
        <v>274838.77428571234</v>
      </c>
      <c r="K31" s="3" t="s">
        <v>24</v>
      </c>
      <c r="L31" s="4">
        <f>L28+L29-L30</f>
        <v>325106.6575713997</v>
      </c>
      <c r="P31" s="3" t="s">
        <v>24</v>
      </c>
      <c r="Q31" s="4">
        <f>Q28+Q29-Q30</f>
        <v>720546.13142857014</v>
      </c>
    </row>
    <row r="32" spans="1:17" s="2" customFormat="1" ht="13.2" x14ac:dyDescent="0.25">
      <c r="A32" s="3" t="s">
        <v>827</v>
      </c>
      <c r="B32" s="4">
        <f>B31*0.2</f>
        <v>264098.31265713641</v>
      </c>
      <c r="F32" s="3" t="s">
        <v>827</v>
      </c>
      <c r="G32" s="4">
        <f>G31*0.2</f>
        <v>54967.75485714247</v>
      </c>
      <c r="K32" s="3" t="s">
        <v>827</v>
      </c>
      <c r="L32" s="4">
        <f>L31*0.2</f>
        <v>65021.33151427994</v>
      </c>
      <c r="P32" s="3" t="s">
        <v>827</v>
      </c>
      <c r="Q32" s="4">
        <f>Q31*0.2</f>
        <v>144109.22628571404</v>
      </c>
    </row>
    <row r="33" spans="1:17" s="2" customFormat="1" ht="13.2" x14ac:dyDescent="0.25">
      <c r="A33" s="3" t="s">
        <v>25</v>
      </c>
      <c r="B33" s="4">
        <f>B31-B32</f>
        <v>1056393.2506285454</v>
      </c>
      <c r="F33" s="3" t="s">
        <v>25</v>
      </c>
      <c r="G33" s="4">
        <f>G31-G32</f>
        <v>219871.01942856988</v>
      </c>
      <c r="K33" s="3" t="s">
        <v>25</v>
      </c>
      <c r="L33" s="4">
        <f>L31-L32</f>
        <v>260085.32605711976</v>
      </c>
      <c r="P33" s="3" t="s">
        <v>25</v>
      </c>
      <c r="Q33" s="4">
        <f>Q31-Q32</f>
        <v>576436.90514285606</v>
      </c>
    </row>
    <row r="38" spans="1:17" ht="15.6" x14ac:dyDescent="0.3">
      <c r="A38" s="1" t="s">
        <v>0</v>
      </c>
      <c r="B38" s="1"/>
      <c r="C38" s="1"/>
      <c r="D38" s="1"/>
      <c r="E38" s="1"/>
      <c r="F38" s="1" t="s">
        <v>0</v>
      </c>
      <c r="G38" s="1"/>
      <c r="H38" s="1"/>
      <c r="I38" s="1"/>
      <c r="J38" s="1"/>
      <c r="K38" s="1" t="s">
        <v>0</v>
      </c>
      <c r="L38" s="1"/>
      <c r="M38" s="1"/>
      <c r="N38" s="1"/>
      <c r="O38" s="1"/>
      <c r="P38" s="1" t="s">
        <v>0</v>
      </c>
      <c r="Q38" s="1"/>
    </row>
    <row r="39" spans="1:17" x14ac:dyDescent="0.3">
      <c r="A39" s="2" t="s">
        <v>1182</v>
      </c>
      <c r="B39" s="2"/>
      <c r="C39" s="2"/>
      <c r="D39" s="2"/>
      <c r="E39" s="2"/>
      <c r="F39" s="2" t="s">
        <v>884</v>
      </c>
      <c r="G39" s="2"/>
      <c r="H39" s="2"/>
      <c r="I39" s="2"/>
      <c r="J39" s="2"/>
      <c r="K39" s="2" t="s">
        <v>883</v>
      </c>
      <c r="L39" s="2"/>
      <c r="M39" s="2"/>
      <c r="N39" s="2"/>
      <c r="O39" s="2"/>
      <c r="P39" s="2" t="s">
        <v>881</v>
      </c>
      <c r="Q39" s="2"/>
    </row>
    <row r="41" spans="1:17" x14ac:dyDescent="0.3">
      <c r="A41" s="3" t="s">
        <v>1</v>
      </c>
      <c r="B41" s="6">
        <f>Q41+L41+G41</f>
        <v>1496602.6471428571</v>
      </c>
      <c r="C41" s="2"/>
      <c r="D41" s="2"/>
      <c r="E41" s="2"/>
      <c r="F41" s="3" t="s">
        <v>1</v>
      </c>
      <c r="G41" s="6">
        <f>'MARCH SALES'!L215+'MARCH SALES'!N215</f>
        <v>0</v>
      </c>
      <c r="H41" s="2"/>
      <c r="I41" s="2"/>
      <c r="J41" s="2"/>
      <c r="K41" s="3" t="s">
        <v>1</v>
      </c>
      <c r="L41" s="6">
        <f>'SALES FEB 2026'!L225+'SALES FEB 2026'!N225</f>
        <v>0</v>
      </c>
      <c r="M41" s="2"/>
      <c r="N41" s="2"/>
      <c r="O41" s="2"/>
      <c r="P41" s="3" t="s">
        <v>1</v>
      </c>
      <c r="Q41" s="6">
        <f>'SALES APRIL 2026'!L202+'SALES APRIL 2026'!N202</f>
        <v>1496602.6471428571</v>
      </c>
    </row>
    <row r="42" spans="1:17" x14ac:dyDescent="0.3">
      <c r="A42" s="5" t="s">
        <v>2</v>
      </c>
      <c r="B42" s="55">
        <f>Q42+L42+G42</f>
        <v>974397.83999999973</v>
      </c>
      <c r="F42" s="5" t="s">
        <v>2</v>
      </c>
      <c r="G42" s="55">
        <f>'MARCH SALES'!P215</f>
        <v>0</v>
      </c>
      <c r="K42" s="5" t="s">
        <v>2</v>
      </c>
      <c r="L42" s="55">
        <f>'SALES FEB 2026'!P225</f>
        <v>0</v>
      </c>
      <c r="P42" s="5" t="s">
        <v>2</v>
      </c>
      <c r="Q42" s="55">
        <f>'SALES APRIL 2026'!P202</f>
        <v>974397.83999999973</v>
      </c>
    </row>
    <row r="44" spans="1:17" x14ac:dyDescent="0.3">
      <c r="A44" s="3" t="s">
        <v>3</v>
      </c>
      <c r="B44" s="4">
        <f>B41-B42</f>
        <v>522204.80714285735</v>
      </c>
      <c r="C44" s="2"/>
      <c r="D44" s="2"/>
      <c r="E44" s="2"/>
      <c r="F44" s="3" t="s">
        <v>3</v>
      </c>
      <c r="G44" s="4">
        <f>G41-G42</f>
        <v>0</v>
      </c>
      <c r="H44" s="2"/>
      <c r="I44" s="2"/>
      <c r="J44" s="2"/>
      <c r="K44" s="3" t="s">
        <v>3</v>
      </c>
      <c r="L44" s="4">
        <f>L41-L42</f>
        <v>0</v>
      </c>
      <c r="M44" s="2"/>
      <c r="N44" s="2"/>
      <c r="O44" s="2"/>
      <c r="P44" s="3" t="s">
        <v>3</v>
      </c>
      <c r="Q44" s="4">
        <f>Q41-Q42</f>
        <v>522204.80714285735</v>
      </c>
    </row>
    <row r="46" spans="1:17" x14ac:dyDescent="0.3">
      <c r="A46" s="3" t="s">
        <v>4</v>
      </c>
      <c r="B46" s="2"/>
      <c r="C46" s="2"/>
      <c r="D46" s="2"/>
      <c r="E46" s="2"/>
      <c r="F46" s="3" t="s">
        <v>4</v>
      </c>
      <c r="G46" s="2"/>
      <c r="H46" s="2"/>
      <c r="I46" s="2"/>
      <c r="J46" s="2"/>
      <c r="K46" s="3" t="s">
        <v>4</v>
      </c>
      <c r="L46" s="2"/>
      <c r="M46" s="2"/>
      <c r="N46" s="2"/>
      <c r="O46" s="2"/>
      <c r="P46" s="3" t="s">
        <v>4</v>
      </c>
      <c r="Q46" s="2"/>
    </row>
    <row r="47" spans="1:17" x14ac:dyDescent="0.3">
      <c r="A47" s="5" t="s">
        <v>5</v>
      </c>
      <c r="B47" s="6">
        <f>Q47+L47+G47</f>
        <v>3596</v>
      </c>
      <c r="F47" s="5" t="s">
        <v>5</v>
      </c>
      <c r="G47" s="6"/>
      <c r="K47" s="5" t="s">
        <v>5</v>
      </c>
      <c r="L47" s="6"/>
      <c r="P47" s="5" t="s">
        <v>5</v>
      </c>
      <c r="Q47" s="6">
        <v>3596</v>
      </c>
    </row>
    <row r="48" spans="1:17" x14ac:dyDescent="0.3">
      <c r="A48" s="5" t="s">
        <v>6</v>
      </c>
      <c r="B48" s="6">
        <f t="shared" ref="B48:B62" si="1">Q48+L48+G48</f>
        <v>7851.56</v>
      </c>
      <c r="F48" s="5" t="s">
        <v>6</v>
      </c>
      <c r="G48" s="6"/>
      <c r="K48" s="5" t="s">
        <v>6</v>
      </c>
      <c r="L48" s="6"/>
      <c r="P48" s="5" t="s">
        <v>6</v>
      </c>
      <c r="Q48" s="6">
        <v>7851.56</v>
      </c>
    </row>
    <row r="49" spans="1:17" x14ac:dyDescent="0.3">
      <c r="A49" s="5" t="s">
        <v>7</v>
      </c>
      <c r="B49" s="6">
        <f t="shared" si="1"/>
        <v>2820</v>
      </c>
      <c r="F49" s="5" t="s">
        <v>7</v>
      </c>
      <c r="G49" s="6"/>
      <c r="K49" s="5" t="s">
        <v>7</v>
      </c>
      <c r="L49" s="6"/>
      <c r="P49" s="5" t="s">
        <v>7</v>
      </c>
      <c r="Q49" s="6">
        <v>2820</v>
      </c>
    </row>
    <row r="50" spans="1:17" x14ac:dyDescent="0.3">
      <c r="A50" s="5" t="s">
        <v>8</v>
      </c>
      <c r="B50" s="6">
        <f t="shared" si="1"/>
        <v>0</v>
      </c>
      <c r="F50" s="5" t="s">
        <v>8</v>
      </c>
      <c r="G50" s="6"/>
      <c r="K50" s="5" t="s">
        <v>8</v>
      </c>
      <c r="L50" s="6"/>
      <c r="P50" s="5" t="s">
        <v>8</v>
      </c>
      <c r="Q50" s="6"/>
    </row>
    <row r="51" spans="1:17" x14ac:dyDescent="0.3">
      <c r="A51" s="5" t="s">
        <v>9</v>
      </c>
      <c r="B51" s="6">
        <f t="shared" si="1"/>
        <v>20400</v>
      </c>
      <c r="F51" s="5" t="s">
        <v>9</v>
      </c>
      <c r="G51" s="6"/>
      <c r="K51" s="5" t="s">
        <v>9</v>
      </c>
      <c r="L51" s="6"/>
      <c r="P51" s="5" t="s">
        <v>9</v>
      </c>
      <c r="Q51" s="6">
        <v>20400</v>
      </c>
    </row>
    <row r="52" spans="1:17" x14ac:dyDescent="0.3">
      <c r="A52" s="5" t="s">
        <v>10</v>
      </c>
      <c r="B52" s="6">
        <f t="shared" si="1"/>
        <v>0</v>
      </c>
      <c r="F52" s="5" t="s">
        <v>10</v>
      </c>
      <c r="G52" s="6"/>
      <c r="K52" s="5" t="s">
        <v>10</v>
      </c>
      <c r="L52" s="6"/>
      <c r="P52" s="5" t="s">
        <v>10</v>
      </c>
      <c r="Q52" s="6"/>
    </row>
    <row r="53" spans="1:17" x14ac:dyDescent="0.3">
      <c r="A53" s="5" t="s">
        <v>11</v>
      </c>
      <c r="B53" s="6">
        <f t="shared" si="1"/>
        <v>0</v>
      </c>
      <c r="F53" s="5" t="s">
        <v>11</v>
      </c>
      <c r="G53" s="6"/>
      <c r="K53" s="5" t="s">
        <v>11</v>
      </c>
      <c r="L53" s="6"/>
      <c r="P53" s="5" t="s">
        <v>11</v>
      </c>
      <c r="Q53" s="6"/>
    </row>
    <row r="54" spans="1:17" x14ac:dyDescent="0.3">
      <c r="A54" s="5" t="s">
        <v>12</v>
      </c>
      <c r="B54" s="6">
        <f t="shared" si="1"/>
        <v>0</v>
      </c>
      <c r="F54" s="5" t="s">
        <v>12</v>
      </c>
      <c r="G54" s="6"/>
      <c r="K54" s="5" t="s">
        <v>12</v>
      </c>
      <c r="L54" s="6"/>
      <c r="P54" s="5" t="s">
        <v>12</v>
      </c>
      <c r="Q54" s="6"/>
    </row>
    <row r="55" spans="1:17" x14ac:dyDescent="0.3">
      <c r="A55" s="5" t="s">
        <v>13</v>
      </c>
      <c r="B55" s="6">
        <f t="shared" si="1"/>
        <v>0</v>
      </c>
      <c r="F55" s="5" t="s">
        <v>13</v>
      </c>
      <c r="G55" s="6"/>
      <c r="K55" s="5" t="s">
        <v>13</v>
      </c>
      <c r="L55" s="6"/>
      <c r="P55" s="5" t="s">
        <v>13</v>
      </c>
      <c r="Q55" s="6"/>
    </row>
    <row r="56" spans="1:17" x14ac:dyDescent="0.3">
      <c r="A56" s="5" t="s">
        <v>14</v>
      </c>
      <c r="B56" s="6">
        <f t="shared" si="1"/>
        <v>0</v>
      </c>
      <c r="F56" s="5" t="s">
        <v>14</v>
      </c>
      <c r="G56" s="6"/>
      <c r="K56" s="5" t="s">
        <v>14</v>
      </c>
      <c r="L56" s="6"/>
      <c r="P56" s="5" t="s">
        <v>14</v>
      </c>
      <c r="Q56" s="6"/>
    </row>
    <row r="57" spans="1:17" x14ac:dyDescent="0.3">
      <c r="A57" s="5" t="s">
        <v>15</v>
      </c>
      <c r="B57" s="6">
        <f t="shared" si="1"/>
        <v>0</v>
      </c>
      <c r="F57" s="5" t="s">
        <v>15</v>
      </c>
      <c r="G57" s="6"/>
      <c r="K57" s="5" t="s">
        <v>15</v>
      </c>
      <c r="L57" s="6"/>
      <c r="P57" s="5" t="s">
        <v>15</v>
      </c>
      <c r="Q57" s="6"/>
    </row>
    <row r="58" spans="1:17" x14ac:dyDescent="0.3">
      <c r="A58" s="5" t="s">
        <v>16</v>
      </c>
      <c r="B58" s="6">
        <f t="shared" si="1"/>
        <v>0</v>
      </c>
      <c r="F58" s="5" t="s">
        <v>16</v>
      </c>
      <c r="G58" s="6"/>
      <c r="K58" s="5" t="s">
        <v>16</v>
      </c>
      <c r="L58" s="6"/>
      <c r="P58" s="5" t="s">
        <v>16</v>
      </c>
      <c r="Q58" s="6"/>
    </row>
    <row r="59" spans="1:17" x14ac:dyDescent="0.3">
      <c r="A59" s="5" t="s">
        <v>17</v>
      </c>
      <c r="B59" s="6">
        <f t="shared" si="1"/>
        <v>0</v>
      </c>
      <c r="F59" s="5" t="s">
        <v>17</v>
      </c>
      <c r="G59" s="6"/>
      <c r="K59" s="5" t="s">
        <v>17</v>
      </c>
      <c r="L59" s="6"/>
      <c r="P59" s="5" t="s">
        <v>17</v>
      </c>
      <c r="Q59" s="6"/>
    </row>
    <row r="60" spans="1:17" x14ac:dyDescent="0.3">
      <c r="A60" s="5" t="s">
        <v>18</v>
      </c>
      <c r="B60" s="6">
        <f t="shared" si="1"/>
        <v>0</v>
      </c>
      <c r="F60" s="5" t="s">
        <v>18</v>
      </c>
      <c r="G60" s="6"/>
      <c r="K60" s="5" t="s">
        <v>18</v>
      </c>
      <c r="L60" s="6"/>
      <c r="P60" s="5" t="s">
        <v>18</v>
      </c>
      <c r="Q60" s="6"/>
    </row>
    <row r="61" spans="1:17" x14ac:dyDescent="0.3">
      <c r="A61" s="5" t="s">
        <v>19</v>
      </c>
      <c r="B61" s="6">
        <f t="shared" si="1"/>
        <v>0</v>
      </c>
      <c r="F61" s="5" t="s">
        <v>19</v>
      </c>
      <c r="G61" s="6"/>
      <c r="K61" s="5" t="s">
        <v>19</v>
      </c>
      <c r="L61" s="6"/>
      <c r="P61" s="5" t="s">
        <v>19</v>
      </c>
      <c r="Q61" s="6"/>
    </row>
    <row r="62" spans="1:17" x14ac:dyDescent="0.3">
      <c r="A62" s="5" t="s">
        <v>20</v>
      </c>
      <c r="B62" s="6">
        <f t="shared" si="1"/>
        <v>0</v>
      </c>
      <c r="F62" s="5" t="s">
        <v>20</v>
      </c>
      <c r="G62" s="6"/>
      <c r="K62" s="5" t="s">
        <v>20</v>
      </c>
      <c r="L62" s="6"/>
      <c r="P62" s="5" t="s">
        <v>20</v>
      </c>
      <c r="Q62" s="6"/>
    </row>
    <row r="63" spans="1:17" x14ac:dyDescent="0.3">
      <c r="A63" s="3" t="s">
        <v>21</v>
      </c>
      <c r="B63" s="4">
        <f>SUM(B47:B62)</f>
        <v>34667.56</v>
      </c>
      <c r="C63" s="2"/>
      <c r="D63" s="2"/>
      <c r="E63" s="2"/>
      <c r="F63" s="3" t="s">
        <v>21</v>
      </c>
      <c r="G63" s="4">
        <f>SUM(G47:G62)</f>
        <v>0</v>
      </c>
      <c r="H63" s="2"/>
      <c r="I63" s="2"/>
      <c r="J63" s="2"/>
      <c r="K63" s="3" t="s">
        <v>21</v>
      </c>
      <c r="L63" s="4"/>
      <c r="M63" s="2"/>
      <c r="N63" s="2"/>
      <c r="O63" s="2"/>
      <c r="P63" s="3" t="s">
        <v>21</v>
      </c>
      <c r="Q63" s="4">
        <f>SUM(Q47:Q62)</f>
        <v>34667.56</v>
      </c>
    </row>
    <row r="65" spans="1:17" x14ac:dyDescent="0.3">
      <c r="A65" s="3" t="s">
        <v>22</v>
      </c>
      <c r="B65" s="4">
        <f>B44-B63</f>
        <v>487537.24714285735</v>
      </c>
      <c r="C65" s="2"/>
      <c r="D65" s="2"/>
      <c r="E65" s="2"/>
      <c r="F65" s="3" t="s">
        <v>22</v>
      </c>
      <c r="G65" s="4">
        <f>G44-G63</f>
        <v>0</v>
      </c>
      <c r="H65" s="2"/>
      <c r="I65" s="2"/>
      <c r="J65" s="2"/>
      <c r="K65" s="3" t="s">
        <v>22</v>
      </c>
      <c r="L65" s="4">
        <f>L44-L63</f>
        <v>0</v>
      </c>
      <c r="M65" s="2"/>
      <c r="N65" s="2"/>
      <c r="O65" s="2"/>
      <c r="P65" s="3" t="s">
        <v>22</v>
      </c>
      <c r="Q65" s="4">
        <f>Q44-Q63</f>
        <v>487537.24714285735</v>
      </c>
    </row>
    <row r="66" spans="1:17" x14ac:dyDescent="0.3">
      <c r="A66" s="3" t="s">
        <v>828</v>
      </c>
      <c r="B66" s="4">
        <f>G66+L66+Q66</f>
        <v>220389.74</v>
      </c>
      <c r="C66" s="2"/>
      <c r="D66" s="2"/>
      <c r="E66" s="2"/>
      <c r="F66" s="3" t="s">
        <v>828</v>
      </c>
      <c r="G66" s="4"/>
      <c r="H66" s="2"/>
      <c r="I66" s="2"/>
      <c r="J66" s="2"/>
      <c r="K66" s="3" t="s">
        <v>828</v>
      </c>
      <c r="L66" s="4"/>
      <c r="M66" s="2"/>
      <c r="N66" s="2"/>
      <c r="O66" s="2"/>
      <c r="P66" s="3" t="s">
        <v>828</v>
      </c>
      <c r="Q66" s="4">
        <v>220389.74</v>
      </c>
    </row>
    <row r="67" spans="1:17" x14ac:dyDescent="0.3">
      <c r="A67" s="5" t="s">
        <v>23</v>
      </c>
      <c r="B67" s="6">
        <f>G67+L67+Q67</f>
        <v>0</v>
      </c>
      <c r="F67" s="5" t="s">
        <v>23</v>
      </c>
      <c r="G67" s="6">
        <v>0</v>
      </c>
      <c r="K67" s="5" t="s">
        <v>23</v>
      </c>
      <c r="L67" s="6">
        <v>0</v>
      </c>
      <c r="P67" s="5" t="s">
        <v>23</v>
      </c>
      <c r="Q67" s="6">
        <v>0</v>
      </c>
    </row>
    <row r="68" spans="1:17" x14ac:dyDescent="0.3">
      <c r="A68" s="3" t="s">
        <v>24</v>
      </c>
      <c r="B68" s="4">
        <f>B65+B66-B67</f>
        <v>707926.9871428574</v>
      </c>
      <c r="C68" s="2"/>
      <c r="D68" s="2"/>
      <c r="E68" s="2"/>
      <c r="F68" s="3" t="s">
        <v>24</v>
      </c>
      <c r="G68" s="4">
        <f>G65+G66-G67</f>
        <v>0</v>
      </c>
      <c r="H68" s="2"/>
      <c r="I68" s="2"/>
      <c r="J68" s="2"/>
      <c r="K68" s="3" t="s">
        <v>24</v>
      </c>
      <c r="L68" s="4">
        <f>L65+L66-L67</f>
        <v>0</v>
      </c>
      <c r="M68" s="2"/>
      <c r="N68" s="2"/>
      <c r="O68" s="2"/>
      <c r="P68" s="3" t="s">
        <v>24</v>
      </c>
      <c r="Q68" s="4">
        <f>Q65+Q66-Q67</f>
        <v>707926.9871428574</v>
      </c>
    </row>
    <row r="69" spans="1:17" x14ac:dyDescent="0.3">
      <c r="A69" s="3" t="s">
        <v>827</v>
      </c>
      <c r="B69" s="4">
        <f>B68*0.2</f>
        <v>141585.39742857148</v>
      </c>
      <c r="C69" s="2"/>
      <c r="D69" s="2"/>
      <c r="E69" s="2"/>
      <c r="F69" s="3" t="s">
        <v>827</v>
      </c>
      <c r="G69" s="4">
        <f>G68*0.2</f>
        <v>0</v>
      </c>
      <c r="H69" s="2"/>
      <c r="I69" s="2"/>
      <c r="J69" s="2"/>
      <c r="K69" s="3" t="s">
        <v>827</v>
      </c>
      <c r="L69" s="4">
        <f>L68*0.2</f>
        <v>0</v>
      </c>
      <c r="M69" s="2"/>
      <c r="N69" s="2"/>
      <c r="O69" s="2"/>
      <c r="P69" s="3" t="s">
        <v>827</v>
      </c>
      <c r="Q69" s="4">
        <f>Q68*0.2</f>
        <v>141585.39742857148</v>
      </c>
    </row>
    <row r="70" spans="1:17" x14ac:dyDescent="0.3">
      <c r="A70" s="3" t="s">
        <v>25</v>
      </c>
      <c r="B70" s="4">
        <f>B68-B69</f>
        <v>566341.58971428592</v>
      </c>
      <c r="C70" s="2"/>
      <c r="D70" s="2"/>
      <c r="E70" s="2"/>
      <c r="F70" s="3" t="s">
        <v>25</v>
      </c>
      <c r="G70" s="4">
        <f>G68-G69</f>
        <v>0</v>
      </c>
      <c r="H70" s="2"/>
      <c r="I70" s="2"/>
      <c r="J70" s="2"/>
      <c r="K70" s="3" t="s">
        <v>25</v>
      </c>
      <c r="L70" s="4">
        <f>L68-L69</f>
        <v>0</v>
      </c>
      <c r="M70" s="2"/>
      <c r="N70" s="2"/>
      <c r="O70" s="2"/>
      <c r="P70" s="3" t="s">
        <v>25</v>
      </c>
      <c r="Q70" s="4">
        <f>Q68-Q69</f>
        <v>566341.58971428592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743"/>
  <sheetViews>
    <sheetView workbookViewId="0">
      <selection sqref="A1:XFD1"/>
    </sheetView>
  </sheetViews>
  <sheetFormatPr defaultColWidth="8.77734375" defaultRowHeight="14.4" x14ac:dyDescent="0.3"/>
  <cols>
    <col min="1" max="2" width="15" customWidth="1"/>
    <col min="3" max="3" width="20" customWidth="1"/>
    <col min="4" max="4" width="15" customWidth="1"/>
    <col min="5" max="5" width="20" customWidth="1"/>
    <col min="6" max="6" width="30" customWidth="1"/>
    <col min="7" max="7" width="55.44140625" customWidth="1"/>
    <col min="8" max="9" width="10" customWidth="1"/>
    <col min="10" max="10" width="15" style="24" customWidth="1"/>
    <col min="11" max="13" width="15" customWidth="1"/>
    <col min="14" max="14" width="20" customWidth="1"/>
    <col min="15" max="18" width="15" customWidth="1"/>
    <col min="19" max="19" width="20" customWidth="1"/>
    <col min="20" max="23" width="15" customWidth="1"/>
    <col min="24" max="24" width="20" customWidth="1"/>
  </cols>
  <sheetData>
    <row r="1" spans="1:27" x14ac:dyDescent="0.3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s="24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</row>
    <row r="2" spans="1:27" x14ac:dyDescent="0.3">
      <c r="A2" s="8"/>
      <c r="B2" s="8"/>
      <c r="C2" s="10"/>
      <c r="D2" s="11"/>
      <c r="E2" s="11"/>
      <c r="F2" s="10"/>
      <c r="G2" s="11"/>
      <c r="H2" s="11"/>
      <c r="I2" s="11"/>
      <c r="J2" s="25"/>
      <c r="K2" s="12"/>
      <c r="L2" s="11"/>
      <c r="M2" s="11"/>
      <c r="N2" s="10"/>
      <c r="O2" s="12"/>
      <c r="P2" s="12"/>
      <c r="Q2" s="12"/>
      <c r="R2" s="11"/>
      <c r="S2" s="10"/>
      <c r="T2" s="10"/>
      <c r="U2" s="11"/>
      <c r="V2" s="10"/>
      <c r="W2" s="10"/>
      <c r="X2" s="10"/>
      <c r="Y2" s="10"/>
      <c r="Z2" s="10"/>
      <c r="AA2" s="10"/>
    </row>
    <row r="3" spans="1:27" x14ac:dyDescent="0.3">
      <c r="A3" s="8"/>
      <c r="B3" s="8"/>
      <c r="C3" s="10"/>
      <c r="D3" s="11"/>
      <c r="E3" s="11"/>
      <c r="F3" s="10"/>
      <c r="G3" s="11"/>
      <c r="H3" s="11"/>
      <c r="I3" s="11"/>
      <c r="J3" s="25"/>
      <c r="K3" s="12"/>
      <c r="L3" s="10"/>
      <c r="M3" s="10"/>
      <c r="N3" s="12"/>
      <c r="O3" s="12"/>
      <c r="P3" s="12"/>
      <c r="Q3" s="12"/>
      <c r="R3" s="11"/>
      <c r="S3" s="10"/>
      <c r="T3" s="10"/>
      <c r="U3" s="11"/>
      <c r="V3" s="11"/>
      <c r="W3" s="11"/>
      <c r="X3" s="10"/>
      <c r="Y3" s="10"/>
      <c r="Z3" s="10"/>
      <c r="AA3" s="10"/>
    </row>
    <row r="4" spans="1:27" x14ac:dyDescent="0.3">
      <c r="A4" s="8"/>
      <c r="B4" s="8"/>
      <c r="C4" s="10"/>
      <c r="D4" s="11"/>
      <c r="E4" s="11"/>
      <c r="F4" s="10"/>
      <c r="G4" s="11"/>
      <c r="H4" s="11"/>
      <c r="I4" s="11"/>
      <c r="J4" s="25"/>
      <c r="K4" s="12"/>
      <c r="L4" s="11"/>
      <c r="M4" s="11"/>
      <c r="N4" s="10"/>
      <c r="O4" s="12"/>
      <c r="P4" s="12"/>
      <c r="Q4" s="12"/>
      <c r="R4" s="11"/>
      <c r="S4" s="10"/>
      <c r="T4" s="10"/>
      <c r="U4" s="11"/>
      <c r="V4" s="11"/>
      <c r="W4" s="11"/>
      <c r="X4" s="10"/>
      <c r="Y4" s="10"/>
      <c r="Z4" s="10"/>
      <c r="AA4" s="10"/>
    </row>
    <row r="5" spans="1:27" x14ac:dyDescent="0.3">
      <c r="A5" s="8"/>
      <c r="B5" s="8"/>
      <c r="C5" s="10"/>
      <c r="D5" s="11"/>
      <c r="E5" s="11"/>
      <c r="F5" s="10"/>
      <c r="G5" s="11"/>
      <c r="H5" s="11"/>
      <c r="I5" s="11"/>
      <c r="J5" s="25"/>
      <c r="K5" s="12"/>
      <c r="L5" s="11"/>
      <c r="M5" s="11"/>
      <c r="N5" s="10"/>
      <c r="O5" s="12"/>
      <c r="P5" s="12"/>
      <c r="Q5" s="12"/>
      <c r="R5" s="11"/>
      <c r="S5" s="10"/>
      <c r="T5" s="10"/>
      <c r="U5" s="11"/>
      <c r="V5" s="11"/>
      <c r="W5" s="11"/>
      <c r="X5" s="10"/>
      <c r="Y5" s="10"/>
      <c r="Z5" s="10"/>
      <c r="AA5" s="10"/>
    </row>
    <row r="6" spans="1:27" x14ac:dyDescent="0.3">
      <c r="A6" s="8"/>
      <c r="B6" s="8"/>
      <c r="C6" s="10"/>
      <c r="D6" s="11"/>
      <c r="E6" s="11"/>
      <c r="F6" s="10"/>
      <c r="G6" s="11"/>
      <c r="H6" s="11"/>
      <c r="I6" s="11"/>
      <c r="J6" s="25"/>
      <c r="K6" s="12"/>
      <c r="L6" s="10"/>
      <c r="M6" s="10"/>
      <c r="N6" s="12"/>
      <c r="O6" s="12"/>
      <c r="P6" s="12"/>
      <c r="Q6" s="12"/>
      <c r="R6" s="11"/>
      <c r="S6" s="10"/>
      <c r="T6" s="10"/>
      <c r="U6" s="11"/>
      <c r="V6" s="10"/>
      <c r="W6" s="10"/>
      <c r="X6" s="10"/>
      <c r="Y6" s="10"/>
      <c r="Z6" s="10"/>
      <c r="AA6" s="10"/>
    </row>
    <row r="7" spans="1:27" x14ac:dyDescent="0.3">
      <c r="A7" s="8"/>
      <c r="B7" s="8"/>
      <c r="C7" s="10"/>
      <c r="D7" s="11"/>
      <c r="E7" s="11"/>
      <c r="F7" s="10"/>
      <c r="G7" s="11"/>
      <c r="H7" s="11"/>
      <c r="I7" s="11"/>
      <c r="J7" s="25"/>
      <c r="K7" s="12"/>
      <c r="L7" s="10"/>
      <c r="M7" s="10"/>
      <c r="N7" s="12"/>
      <c r="O7" s="12"/>
      <c r="P7" s="12"/>
      <c r="Q7" s="12"/>
      <c r="R7" s="11"/>
      <c r="S7" s="10"/>
      <c r="T7" s="10"/>
      <c r="U7" s="11"/>
      <c r="V7" s="11"/>
      <c r="W7" s="11"/>
      <c r="X7" s="10"/>
      <c r="Y7" s="10"/>
      <c r="Z7" s="10"/>
      <c r="AA7" s="10"/>
    </row>
    <row r="8" spans="1:27" x14ac:dyDescent="0.3">
      <c r="A8" s="8"/>
      <c r="B8" s="8"/>
      <c r="C8" s="10"/>
      <c r="D8" s="11"/>
      <c r="E8" s="11"/>
      <c r="F8" s="10"/>
      <c r="G8" s="11"/>
      <c r="H8" s="11"/>
      <c r="I8" s="11"/>
      <c r="J8" s="25"/>
      <c r="K8" s="12"/>
      <c r="L8" s="10"/>
      <c r="M8" s="10"/>
      <c r="N8" s="12"/>
      <c r="O8" s="12"/>
      <c r="P8" s="12"/>
      <c r="Q8" s="12"/>
      <c r="R8" s="11"/>
      <c r="S8" s="10"/>
      <c r="T8" s="10"/>
      <c r="U8" s="11"/>
      <c r="V8" s="11"/>
      <c r="W8" s="11"/>
      <c r="X8" s="10"/>
      <c r="Y8" s="10"/>
      <c r="Z8" s="10"/>
      <c r="AA8" s="10"/>
    </row>
    <row r="9" spans="1:27" x14ac:dyDescent="0.3">
      <c r="A9" s="8"/>
      <c r="B9" s="8"/>
      <c r="C9" s="10"/>
      <c r="D9" s="11"/>
      <c r="E9" s="11"/>
      <c r="F9" s="10"/>
      <c r="G9" s="11"/>
      <c r="H9" s="11"/>
      <c r="I9" s="11"/>
      <c r="J9" s="25"/>
      <c r="K9" s="12"/>
      <c r="L9" s="10"/>
      <c r="M9" s="10"/>
      <c r="N9" s="12"/>
      <c r="O9" s="12"/>
      <c r="P9" s="12"/>
      <c r="Q9" s="12"/>
      <c r="R9" s="11"/>
      <c r="S9" s="10"/>
      <c r="T9" s="10"/>
      <c r="U9" s="11"/>
      <c r="V9" s="10"/>
      <c r="W9" s="10"/>
      <c r="X9" s="10"/>
      <c r="Y9" s="10"/>
      <c r="Z9" s="10"/>
      <c r="AA9" s="10"/>
    </row>
    <row r="10" spans="1:27" x14ac:dyDescent="0.3">
      <c r="A10" s="8"/>
      <c r="B10" s="8"/>
      <c r="C10" s="10"/>
      <c r="D10" s="11"/>
      <c r="E10" s="11"/>
      <c r="F10" s="10"/>
      <c r="G10" s="11"/>
      <c r="H10" s="11"/>
      <c r="I10" s="11"/>
      <c r="J10" s="25"/>
      <c r="K10" s="12"/>
      <c r="L10" s="10"/>
      <c r="M10" s="10"/>
      <c r="N10" s="12"/>
      <c r="O10" s="12"/>
      <c r="P10" s="12"/>
      <c r="Q10" s="12"/>
      <c r="R10" s="11"/>
      <c r="S10" s="10"/>
      <c r="T10" s="10"/>
      <c r="U10" s="11"/>
      <c r="V10" s="11"/>
      <c r="W10" s="11"/>
      <c r="X10" s="10"/>
      <c r="Y10" s="10"/>
      <c r="Z10" s="10"/>
      <c r="AA10" s="10"/>
    </row>
    <row r="11" spans="1:27" x14ac:dyDescent="0.3">
      <c r="A11" s="8"/>
      <c r="B11" s="8"/>
      <c r="C11" s="10"/>
      <c r="D11" s="11"/>
      <c r="E11" s="11"/>
      <c r="F11" s="10"/>
      <c r="G11" s="11"/>
      <c r="H11" s="11"/>
      <c r="I11" s="11"/>
      <c r="J11" s="25"/>
      <c r="K11" s="12"/>
      <c r="L11" s="10"/>
      <c r="M11" s="10"/>
      <c r="N11" s="12"/>
      <c r="O11" s="12"/>
      <c r="P11" s="12"/>
      <c r="Q11" s="12"/>
      <c r="R11" s="11"/>
      <c r="S11" s="10"/>
      <c r="T11" s="10"/>
      <c r="U11" s="11"/>
      <c r="V11" s="11"/>
      <c r="W11" s="11"/>
      <c r="X11" s="10"/>
      <c r="Y11" s="10"/>
      <c r="Z11" s="10"/>
      <c r="AA11" s="10"/>
    </row>
    <row r="12" spans="1:27" x14ac:dyDescent="0.3">
      <c r="A12" s="8"/>
      <c r="B12" s="8"/>
      <c r="C12" s="10"/>
      <c r="D12" s="11"/>
      <c r="E12" s="11"/>
      <c r="F12" s="10"/>
      <c r="G12" s="11"/>
      <c r="H12" s="11"/>
      <c r="I12" s="11"/>
      <c r="J12" s="25"/>
      <c r="K12" s="12"/>
      <c r="L12" s="11"/>
      <c r="M12" s="11"/>
      <c r="N12" s="10"/>
      <c r="O12" s="12"/>
      <c r="P12" s="12"/>
      <c r="Q12" s="12"/>
      <c r="R12" s="11"/>
      <c r="S12" s="10"/>
      <c r="T12" s="10"/>
      <c r="U12" s="11"/>
      <c r="V12" s="11"/>
      <c r="W12" s="11"/>
      <c r="X12" s="10"/>
      <c r="Y12" s="10"/>
      <c r="Z12" s="10"/>
      <c r="AA12" s="10"/>
    </row>
    <row r="13" spans="1:27" x14ac:dyDescent="0.3">
      <c r="A13" s="8"/>
      <c r="B13" s="8"/>
      <c r="C13" s="10"/>
      <c r="D13" s="11"/>
      <c r="E13" s="11"/>
      <c r="F13" s="10"/>
      <c r="G13" s="11"/>
      <c r="H13" s="11"/>
      <c r="I13" s="11"/>
      <c r="J13" s="25"/>
      <c r="K13" s="12"/>
      <c r="L13" s="15"/>
      <c r="M13" s="11"/>
      <c r="N13" s="10"/>
      <c r="O13" s="12"/>
      <c r="P13" s="12"/>
      <c r="Q13" s="12"/>
      <c r="R13" s="11"/>
      <c r="S13" s="10"/>
      <c r="T13" s="10"/>
      <c r="U13" s="11"/>
      <c r="V13" s="11"/>
      <c r="W13" s="11"/>
      <c r="X13" s="10"/>
      <c r="Y13" s="10"/>
      <c r="Z13" s="10"/>
      <c r="AA13" s="10"/>
    </row>
    <row r="14" spans="1:27" x14ac:dyDescent="0.3">
      <c r="A14" s="8"/>
      <c r="B14" s="8"/>
      <c r="C14" s="10"/>
      <c r="D14" s="11"/>
      <c r="E14" s="11"/>
      <c r="F14" s="10"/>
      <c r="G14" s="11"/>
      <c r="H14" s="11"/>
      <c r="I14" s="11"/>
      <c r="J14" s="25"/>
      <c r="K14" s="12"/>
      <c r="L14" s="10"/>
      <c r="M14" s="10"/>
      <c r="N14" s="12"/>
      <c r="O14" s="12"/>
      <c r="P14" s="12"/>
      <c r="Q14" s="12"/>
      <c r="R14" s="11"/>
      <c r="S14" s="10"/>
      <c r="T14" s="10"/>
      <c r="U14" s="11"/>
      <c r="V14" s="11"/>
      <c r="W14" s="11"/>
      <c r="X14" s="10"/>
      <c r="Y14" s="10"/>
      <c r="Z14" s="10"/>
      <c r="AA14" s="10"/>
    </row>
    <row r="15" spans="1:27" x14ac:dyDescent="0.3">
      <c r="A15" s="8"/>
      <c r="B15" s="8"/>
      <c r="C15" s="10"/>
      <c r="D15" s="10"/>
      <c r="E15" s="11"/>
      <c r="F15" s="10"/>
      <c r="G15" s="11"/>
      <c r="H15" s="11"/>
      <c r="I15" s="11"/>
      <c r="J15" s="25"/>
      <c r="K15" s="12"/>
      <c r="L15" s="10"/>
      <c r="M15" s="10"/>
      <c r="N15" s="12"/>
      <c r="O15" s="12"/>
      <c r="P15" s="12"/>
      <c r="Q15" s="12"/>
      <c r="R15" s="11"/>
      <c r="S15" s="10"/>
      <c r="T15" s="10"/>
      <c r="U15" s="10"/>
      <c r="V15" s="10"/>
      <c r="W15" s="10"/>
      <c r="X15" s="10"/>
      <c r="Y15" s="10"/>
      <c r="Z15" s="10"/>
      <c r="AA15" s="10"/>
    </row>
    <row r="16" spans="1:27" x14ac:dyDescent="0.3">
      <c r="A16" s="8"/>
      <c r="B16" s="8"/>
      <c r="C16" s="10"/>
      <c r="D16" s="11"/>
      <c r="E16" s="11"/>
      <c r="F16" s="10"/>
      <c r="G16" s="11"/>
      <c r="H16" s="11"/>
      <c r="I16" s="11"/>
      <c r="J16" s="25"/>
      <c r="K16" s="12"/>
      <c r="L16" s="10"/>
      <c r="M16" s="10"/>
      <c r="N16" s="12"/>
      <c r="O16" s="12"/>
      <c r="P16" s="12"/>
      <c r="Q16" s="12"/>
      <c r="R16" s="11"/>
      <c r="S16" s="10"/>
      <c r="T16" s="10"/>
      <c r="U16" s="11"/>
      <c r="V16" s="11"/>
      <c r="W16" s="11"/>
      <c r="X16" s="10"/>
      <c r="Y16" s="10"/>
      <c r="Z16" s="10"/>
      <c r="AA16" s="10"/>
    </row>
    <row r="17" spans="1:27" x14ac:dyDescent="0.3">
      <c r="A17" s="8"/>
      <c r="B17" s="8"/>
      <c r="C17" s="10"/>
      <c r="D17" s="11"/>
      <c r="E17" s="11"/>
      <c r="F17" s="10"/>
      <c r="G17" s="11"/>
      <c r="H17" s="11"/>
      <c r="I17" s="11"/>
      <c r="J17" s="25"/>
      <c r="K17" s="12"/>
      <c r="L17" s="10"/>
      <c r="M17" s="10"/>
      <c r="N17" s="12"/>
      <c r="O17" s="12"/>
      <c r="P17" s="12"/>
      <c r="Q17" s="12"/>
      <c r="R17" s="11"/>
      <c r="S17" s="10"/>
      <c r="T17" s="10"/>
      <c r="U17" s="11"/>
      <c r="V17" s="11"/>
      <c r="W17" s="11"/>
      <c r="X17" s="10"/>
      <c r="Y17" s="10"/>
      <c r="Z17" s="10"/>
      <c r="AA17" s="10"/>
    </row>
    <row r="18" spans="1:27" x14ac:dyDescent="0.3">
      <c r="A18" s="8"/>
      <c r="B18" s="8"/>
      <c r="C18" s="10"/>
      <c r="D18" s="11"/>
      <c r="E18" s="11"/>
      <c r="F18" s="10"/>
      <c r="G18" s="11"/>
      <c r="H18" s="11"/>
      <c r="I18" s="11"/>
      <c r="J18" s="25"/>
      <c r="K18" s="12"/>
      <c r="L18" s="15"/>
      <c r="M18" s="11"/>
      <c r="N18" s="10"/>
      <c r="O18" s="12"/>
      <c r="P18" s="12"/>
      <c r="Q18" s="12"/>
      <c r="R18" s="11"/>
      <c r="S18" s="10"/>
      <c r="T18" s="10"/>
      <c r="U18" s="11"/>
      <c r="V18" s="11"/>
      <c r="W18" s="11"/>
      <c r="X18" s="10"/>
      <c r="Y18" s="10"/>
      <c r="Z18" s="10"/>
      <c r="AA18" s="10"/>
    </row>
    <row r="19" spans="1:27" x14ac:dyDescent="0.3">
      <c r="A19" s="8"/>
      <c r="B19" s="8"/>
      <c r="C19" s="10"/>
      <c r="D19" s="11"/>
      <c r="E19" s="11"/>
      <c r="F19" s="10"/>
      <c r="G19" s="11"/>
      <c r="H19" s="11"/>
      <c r="I19" s="11"/>
      <c r="J19" s="25"/>
      <c r="K19" s="12"/>
      <c r="L19" s="10"/>
      <c r="M19" s="10"/>
      <c r="N19" s="12"/>
      <c r="O19" s="12"/>
      <c r="P19" s="12"/>
      <c r="Q19" s="12"/>
      <c r="R19" s="11"/>
      <c r="S19" s="10"/>
      <c r="T19" s="10"/>
      <c r="U19" s="11"/>
      <c r="V19" s="11"/>
      <c r="W19" s="11"/>
      <c r="X19" s="10"/>
      <c r="Y19" s="10"/>
      <c r="Z19" s="10"/>
      <c r="AA19" s="10"/>
    </row>
    <row r="20" spans="1:27" x14ac:dyDescent="0.3">
      <c r="A20" s="8"/>
      <c r="B20" s="8"/>
      <c r="C20" s="10"/>
      <c r="D20" s="11"/>
      <c r="E20" s="11"/>
      <c r="F20" s="10"/>
      <c r="G20" s="11"/>
      <c r="H20" s="11"/>
      <c r="I20" s="11"/>
      <c r="J20" s="25"/>
      <c r="K20" s="12"/>
      <c r="L20" s="11"/>
      <c r="M20" s="11"/>
      <c r="N20" s="10"/>
      <c r="O20" s="12"/>
      <c r="P20" s="12"/>
      <c r="Q20" s="12"/>
      <c r="R20" s="11"/>
      <c r="S20" s="10"/>
      <c r="T20" s="10"/>
      <c r="U20" s="11"/>
      <c r="V20" s="11"/>
      <c r="W20" s="11"/>
      <c r="X20" s="10"/>
      <c r="Y20" s="10"/>
      <c r="Z20" s="10"/>
      <c r="AA20" s="10"/>
    </row>
    <row r="21" spans="1:27" x14ac:dyDescent="0.3">
      <c r="A21" s="8"/>
      <c r="B21" s="8"/>
      <c r="C21" s="10"/>
      <c r="D21" s="11"/>
      <c r="E21" s="11"/>
      <c r="F21" s="10"/>
      <c r="G21" s="11"/>
      <c r="H21" s="11"/>
      <c r="I21" s="11"/>
      <c r="J21" s="25"/>
      <c r="K21" s="12"/>
      <c r="L21" s="10"/>
      <c r="M21" s="10"/>
      <c r="N21" s="12"/>
      <c r="O21" s="12"/>
      <c r="P21" s="12"/>
      <c r="Q21" s="12"/>
      <c r="R21" s="11"/>
      <c r="S21" s="10"/>
      <c r="T21" s="10"/>
      <c r="U21" s="11"/>
      <c r="V21" s="11"/>
      <c r="W21" s="11"/>
      <c r="X21" s="10"/>
      <c r="Y21" s="10"/>
      <c r="Z21" s="10"/>
      <c r="AA21" s="10"/>
    </row>
    <row r="22" spans="1:27" x14ac:dyDescent="0.3">
      <c r="A22" s="8"/>
      <c r="B22" s="8"/>
      <c r="C22" s="10"/>
      <c r="D22" s="11"/>
      <c r="E22" s="11"/>
      <c r="F22" s="10"/>
      <c r="G22" s="11"/>
      <c r="H22" s="11"/>
      <c r="I22" s="11"/>
      <c r="J22" s="25"/>
      <c r="K22" s="12"/>
      <c r="L22" s="10"/>
      <c r="M22" s="10"/>
      <c r="N22" s="12"/>
      <c r="O22" s="12"/>
      <c r="P22" s="12"/>
      <c r="Q22" s="12"/>
      <c r="R22" s="11"/>
      <c r="S22" s="10"/>
      <c r="T22" s="10"/>
      <c r="U22" s="11"/>
      <c r="V22" s="10"/>
      <c r="W22" s="10"/>
      <c r="X22" s="10"/>
      <c r="Y22" s="10"/>
      <c r="Z22" s="10"/>
      <c r="AA22" s="10"/>
    </row>
    <row r="23" spans="1:27" x14ac:dyDescent="0.3">
      <c r="A23" s="8"/>
      <c r="B23" s="8"/>
      <c r="C23" s="10"/>
      <c r="D23" s="11"/>
      <c r="E23" s="11"/>
      <c r="F23" s="10"/>
      <c r="G23" s="11"/>
      <c r="H23" s="11"/>
      <c r="I23" s="11"/>
      <c r="J23" s="25"/>
      <c r="K23" s="12"/>
      <c r="L23" s="11"/>
      <c r="M23" s="11"/>
      <c r="N23" s="10"/>
      <c r="O23" s="12"/>
      <c r="P23" s="12"/>
      <c r="Q23" s="12"/>
      <c r="R23" s="11"/>
      <c r="S23" s="10"/>
      <c r="T23" s="10"/>
      <c r="U23" s="11"/>
      <c r="V23" s="10"/>
      <c r="W23" s="10"/>
      <c r="X23" s="10"/>
      <c r="Y23" s="10"/>
      <c r="Z23" s="10"/>
      <c r="AA23" s="10"/>
    </row>
    <row r="24" spans="1:27" x14ac:dyDescent="0.3">
      <c r="A24" s="8"/>
      <c r="B24" s="8"/>
      <c r="C24" s="10"/>
      <c r="D24" s="11"/>
      <c r="E24" s="11"/>
      <c r="F24" s="10"/>
      <c r="G24" s="11"/>
      <c r="H24" s="11"/>
      <c r="I24" s="11"/>
      <c r="J24" s="25"/>
      <c r="K24" s="12"/>
      <c r="L24" s="10"/>
      <c r="M24" s="10"/>
      <c r="N24" s="12"/>
      <c r="O24" s="12"/>
      <c r="P24" s="12"/>
      <c r="Q24" s="12"/>
      <c r="R24" s="11"/>
      <c r="S24" s="10"/>
      <c r="T24" s="10"/>
      <c r="U24" s="11"/>
      <c r="V24" s="11"/>
      <c r="W24" s="11"/>
      <c r="X24" s="10"/>
      <c r="Y24" s="10"/>
      <c r="Z24" s="10"/>
      <c r="AA24" s="10"/>
    </row>
    <row r="25" spans="1:27" x14ac:dyDescent="0.3">
      <c r="A25" s="8"/>
      <c r="B25" s="8"/>
      <c r="C25" s="10"/>
      <c r="D25" s="11"/>
      <c r="E25" s="11"/>
      <c r="F25" s="10"/>
      <c r="G25" s="11"/>
      <c r="H25" s="11"/>
      <c r="I25" s="11"/>
      <c r="J25" s="25"/>
      <c r="K25" s="12"/>
      <c r="L25" s="10"/>
      <c r="M25" s="10"/>
      <c r="N25" s="12"/>
      <c r="O25" s="12"/>
      <c r="P25" s="12"/>
      <c r="Q25" s="12"/>
      <c r="R25" s="11"/>
      <c r="S25" s="10"/>
      <c r="T25" s="10"/>
      <c r="U25" s="11"/>
      <c r="V25" s="10"/>
      <c r="W25" s="10"/>
      <c r="X25" s="10"/>
      <c r="Y25" s="10"/>
      <c r="Z25" s="10"/>
      <c r="AA25" s="10"/>
    </row>
    <row r="26" spans="1:27" x14ac:dyDescent="0.3">
      <c r="A26" s="8"/>
      <c r="B26" s="8"/>
      <c r="C26" s="10"/>
      <c r="D26" s="11"/>
      <c r="E26" s="11"/>
      <c r="F26" s="10"/>
      <c r="G26" s="11"/>
      <c r="H26" s="11"/>
      <c r="I26" s="11"/>
      <c r="J26" s="25"/>
      <c r="K26" s="12"/>
      <c r="L26" s="10"/>
      <c r="M26" s="10"/>
      <c r="N26" s="12"/>
      <c r="O26" s="12"/>
      <c r="P26" s="12"/>
      <c r="Q26" s="12"/>
      <c r="R26" s="11"/>
      <c r="S26" s="10"/>
      <c r="T26" s="10"/>
      <c r="U26" s="11"/>
      <c r="V26" s="10"/>
      <c r="W26" s="10"/>
      <c r="X26" s="10"/>
      <c r="Y26" s="10"/>
      <c r="Z26" s="10"/>
      <c r="AA26" s="10"/>
    </row>
    <row r="27" spans="1:27" x14ac:dyDescent="0.3">
      <c r="A27" s="8"/>
      <c r="B27" s="8"/>
      <c r="C27" s="10"/>
      <c r="D27" s="11"/>
      <c r="E27" s="11"/>
      <c r="F27" s="10"/>
      <c r="G27" s="11"/>
      <c r="H27" s="11"/>
      <c r="I27" s="11"/>
      <c r="J27" s="25"/>
      <c r="K27" s="12"/>
      <c r="L27" s="15"/>
      <c r="M27" s="11"/>
      <c r="N27" s="10"/>
      <c r="O27" s="12"/>
      <c r="P27" s="12"/>
      <c r="Q27" s="12"/>
      <c r="R27" s="11"/>
      <c r="S27" s="10"/>
      <c r="T27" s="10"/>
      <c r="U27" s="11"/>
      <c r="V27" s="10"/>
      <c r="W27" s="10"/>
      <c r="X27" s="10"/>
      <c r="Y27" s="10"/>
      <c r="Z27" s="10"/>
      <c r="AA27" s="10"/>
    </row>
    <row r="28" spans="1:27" x14ac:dyDescent="0.3">
      <c r="A28" s="8"/>
      <c r="B28" s="8"/>
      <c r="C28" s="10"/>
      <c r="D28" s="11"/>
      <c r="E28" s="11"/>
      <c r="F28" s="10"/>
      <c r="G28" s="11"/>
      <c r="H28" s="11"/>
      <c r="I28" s="11"/>
      <c r="J28" s="25"/>
      <c r="K28" s="12"/>
      <c r="L28" s="11"/>
      <c r="M28" s="11"/>
      <c r="N28" s="10"/>
      <c r="O28" s="12"/>
      <c r="P28" s="12"/>
      <c r="Q28" s="12"/>
      <c r="R28" s="11"/>
      <c r="S28" s="10"/>
      <c r="T28" s="10"/>
      <c r="U28" s="11"/>
      <c r="V28" s="10"/>
      <c r="W28" s="10"/>
      <c r="X28" s="10"/>
      <c r="Y28" s="10"/>
      <c r="Z28" s="10"/>
      <c r="AA28" s="10"/>
    </row>
    <row r="29" spans="1:27" x14ac:dyDescent="0.3">
      <c r="A29" s="8"/>
      <c r="B29" s="8"/>
      <c r="C29" s="10"/>
      <c r="D29" s="11"/>
      <c r="E29" s="11"/>
      <c r="F29" s="10"/>
      <c r="G29" s="11"/>
      <c r="H29" s="11"/>
      <c r="I29" s="11"/>
      <c r="J29" s="25"/>
      <c r="K29" s="12"/>
      <c r="L29" s="15"/>
      <c r="M29" s="11"/>
      <c r="N29" s="10"/>
      <c r="O29" s="12"/>
      <c r="P29" s="12"/>
      <c r="Q29" s="12"/>
      <c r="R29" s="11"/>
      <c r="S29" s="10"/>
      <c r="T29" s="10"/>
      <c r="U29" s="11"/>
      <c r="V29" s="10"/>
      <c r="W29" s="10"/>
      <c r="X29" s="10"/>
      <c r="Y29" s="10"/>
      <c r="Z29" s="10"/>
      <c r="AA29" s="10"/>
    </row>
    <row r="30" spans="1:27" x14ac:dyDescent="0.3">
      <c r="A30" s="8"/>
      <c r="B30" s="8"/>
      <c r="C30" s="10"/>
      <c r="D30" s="11"/>
      <c r="E30" s="11"/>
      <c r="F30" s="10"/>
      <c r="G30" s="11"/>
      <c r="H30" s="11"/>
      <c r="I30" s="11"/>
      <c r="J30" s="25"/>
      <c r="K30" s="12"/>
      <c r="L30" s="15"/>
      <c r="M30" s="11"/>
      <c r="N30" s="10"/>
      <c r="O30" s="12"/>
      <c r="P30" s="12"/>
      <c r="Q30" s="12"/>
      <c r="R30" s="11"/>
      <c r="S30" s="10"/>
      <c r="T30" s="10"/>
      <c r="U30" s="11"/>
      <c r="V30" s="11"/>
      <c r="W30" s="11"/>
      <c r="X30" s="10"/>
      <c r="Y30" s="10"/>
      <c r="Z30" s="10"/>
      <c r="AA30" s="10"/>
    </row>
    <row r="31" spans="1:27" x14ac:dyDescent="0.3">
      <c r="A31" s="8"/>
      <c r="B31" s="8"/>
      <c r="C31" s="10"/>
      <c r="D31" s="11"/>
      <c r="E31" s="11"/>
      <c r="F31" s="10"/>
      <c r="G31" s="11"/>
      <c r="H31" s="11"/>
      <c r="I31" s="11"/>
      <c r="J31" s="25"/>
      <c r="K31" s="12"/>
      <c r="L31" s="10"/>
      <c r="M31" s="10"/>
      <c r="N31" s="12"/>
      <c r="O31" s="12"/>
      <c r="P31" s="12"/>
      <c r="Q31" s="12"/>
      <c r="R31" s="11"/>
      <c r="S31" s="10"/>
      <c r="T31" s="10"/>
      <c r="U31" s="11"/>
      <c r="V31" s="11"/>
      <c r="W31" s="11"/>
      <c r="X31" s="10"/>
      <c r="Y31" s="10"/>
      <c r="Z31" s="10"/>
      <c r="AA31" s="10"/>
    </row>
    <row r="32" spans="1:27" x14ac:dyDescent="0.3">
      <c r="A32" s="8"/>
      <c r="B32" s="8"/>
      <c r="C32" s="10"/>
      <c r="D32" s="11"/>
      <c r="E32" s="11"/>
      <c r="F32" s="10"/>
      <c r="G32" s="11"/>
      <c r="H32" s="11"/>
      <c r="I32" s="11"/>
      <c r="J32" s="25"/>
      <c r="K32" s="12"/>
      <c r="L32" s="10"/>
      <c r="M32" s="10"/>
      <c r="N32" s="12"/>
      <c r="O32" s="12"/>
      <c r="P32" s="12"/>
      <c r="Q32" s="12"/>
      <c r="R32" s="11"/>
      <c r="S32" s="10"/>
      <c r="T32" s="10"/>
      <c r="U32" s="11"/>
      <c r="V32" s="11"/>
      <c r="W32" s="11"/>
      <c r="X32" s="10"/>
      <c r="Y32" s="10"/>
      <c r="Z32" s="10"/>
      <c r="AA32" s="10"/>
    </row>
    <row r="33" spans="1:27" x14ac:dyDescent="0.3">
      <c r="A33" s="8"/>
      <c r="B33" s="8"/>
      <c r="C33" s="10"/>
      <c r="D33" s="11"/>
      <c r="E33" s="11"/>
      <c r="F33" s="10"/>
      <c r="G33" s="11"/>
      <c r="H33" s="11"/>
      <c r="I33" s="11"/>
      <c r="J33" s="25"/>
      <c r="K33" s="12"/>
      <c r="L33" s="10"/>
      <c r="M33" s="10"/>
      <c r="N33" s="12"/>
      <c r="O33" s="12"/>
      <c r="P33" s="12"/>
      <c r="Q33" s="12"/>
      <c r="R33" s="11"/>
      <c r="S33" s="10"/>
      <c r="T33" s="10"/>
      <c r="U33" s="11"/>
      <c r="V33" s="11"/>
      <c r="W33" s="11"/>
      <c r="X33" s="10"/>
      <c r="Y33" s="10"/>
      <c r="Z33" s="10"/>
      <c r="AA33" s="10"/>
    </row>
    <row r="34" spans="1:27" x14ac:dyDescent="0.3">
      <c r="A34" s="8"/>
      <c r="B34" s="8"/>
      <c r="C34" s="10"/>
      <c r="D34" s="11"/>
      <c r="E34" s="11"/>
      <c r="F34" s="10"/>
      <c r="G34" s="11"/>
      <c r="H34" s="11"/>
      <c r="I34" s="11"/>
      <c r="J34" s="25"/>
      <c r="K34" s="12"/>
      <c r="L34" s="10"/>
      <c r="M34" s="10"/>
      <c r="N34" s="12"/>
      <c r="O34" s="12"/>
      <c r="P34" s="12"/>
      <c r="Q34" s="12"/>
      <c r="R34" s="11"/>
      <c r="S34" s="10"/>
      <c r="T34" s="10"/>
      <c r="U34" s="11"/>
      <c r="V34" s="11"/>
      <c r="W34" s="11"/>
      <c r="X34" s="10"/>
      <c r="Y34" s="10"/>
      <c r="Z34" s="10"/>
      <c r="AA34" s="10"/>
    </row>
    <row r="35" spans="1:27" x14ac:dyDescent="0.3">
      <c r="A35" s="8"/>
      <c r="B35" s="8"/>
      <c r="C35" s="10"/>
      <c r="D35" s="11"/>
      <c r="E35" s="11"/>
      <c r="F35" s="10"/>
      <c r="G35" s="11"/>
      <c r="H35" s="11"/>
      <c r="I35" s="11"/>
      <c r="J35" s="25"/>
      <c r="K35" s="12"/>
      <c r="L35" s="10"/>
      <c r="M35" s="10"/>
      <c r="N35" s="12"/>
      <c r="O35" s="12"/>
      <c r="P35" s="12"/>
      <c r="Q35" s="12"/>
      <c r="R35" s="11"/>
      <c r="S35" s="10"/>
      <c r="T35" s="10"/>
      <c r="U35" s="11"/>
      <c r="V35" s="11"/>
      <c r="W35" s="11"/>
      <c r="X35" s="10"/>
      <c r="Y35" s="10"/>
      <c r="Z35" s="10"/>
      <c r="AA35" s="10"/>
    </row>
    <row r="36" spans="1:27" x14ac:dyDescent="0.3">
      <c r="A36" s="8"/>
      <c r="B36" s="8"/>
      <c r="C36" s="10"/>
      <c r="D36" s="11"/>
      <c r="E36" s="11"/>
      <c r="F36" s="10"/>
      <c r="G36" s="11"/>
      <c r="H36" s="11"/>
      <c r="I36" s="11"/>
      <c r="J36" s="25"/>
      <c r="K36" s="12"/>
      <c r="L36" s="15"/>
      <c r="M36" s="11"/>
      <c r="N36" s="10"/>
      <c r="O36" s="12"/>
      <c r="P36" s="12"/>
      <c r="Q36" s="12"/>
      <c r="R36" s="11"/>
      <c r="S36" s="10"/>
      <c r="T36" s="10"/>
      <c r="U36" s="11"/>
      <c r="V36" s="11"/>
      <c r="W36" s="11"/>
      <c r="X36" s="10"/>
      <c r="Y36" s="10"/>
      <c r="Z36" s="10"/>
      <c r="AA36" s="10"/>
    </row>
    <row r="37" spans="1:27" x14ac:dyDescent="0.3">
      <c r="A37" s="8"/>
      <c r="B37" s="8"/>
      <c r="C37" s="10"/>
      <c r="D37" s="11"/>
      <c r="E37" s="11"/>
      <c r="F37" s="10"/>
      <c r="G37" s="11"/>
      <c r="H37" s="11"/>
      <c r="I37" s="11"/>
      <c r="J37" s="25"/>
      <c r="K37" s="12"/>
      <c r="L37" s="10"/>
      <c r="M37" s="10"/>
      <c r="N37" s="12"/>
      <c r="O37" s="12"/>
      <c r="P37" s="12"/>
      <c r="Q37" s="12"/>
      <c r="R37" s="11"/>
      <c r="S37" s="10"/>
      <c r="T37" s="10"/>
      <c r="U37" s="11"/>
      <c r="V37" s="11"/>
      <c r="W37" s="11"/>
      <c r="X37" s="10"/>
      <c r="Y37" s="10"/>
      <c r="Z37" s="10"/>
      <c r="AA37" s="10"/>
    </row>
    <row r="38" spans="1:27" x14ac:dyDescent="0.3">
      <c r="A38" s="8"/>
      <c r="B38" s="8"/>
      <c r="C38" s="10"/>
      <c r="D38" s="11"/>
      <c r="E38" s="11"/>
      <c r="F38" s="10"/>
      <c r="G38" s="11"/>
      <c r="H38" s="11"/>
      <c r="I38" s="11"/>
      <c r="J38" s="25"/>
      <c r="K38" s="12"/>
      <c r="L38" s="10"/>
      <c r="M38" s="10"/>
      <c r="N38" s="12"/>
      <c r="O38" s="12"/>
      <c r="P38" s="12"/>
      <c r="Q38" s="12"/>
      <c r="R38" s="11"/>
      <c r="S38" s="10"/>
      <c r="T38" s="10"/>
      <c r="U38" s="11"/>
      <c r="V38" s="11"/>
      <c r="W38" s="11"/>
      <c r="X38" s="10"/>
      <c r="Y38" s="10"/>
      <c r="Z38" s="10"/>
      <c r="AA38" s="10"/>
    </row>
    <row r="39" spans="1:27" x14ac:dyDescent="0.3">
      <c r="A39" s="8"/>
      <c r="B39" s="8"/>
      <c r="C39" s="10"/>
      <c r="D39" s="11"/>
      <c r="E39" s="11"/>
      <c r="F39" s="10"/>
      <c r="G39" s="11"/>
      <c r="H39" s="11"/>
      <c r="I39" s="11"/>
      <c r="J39" s="25"/>
      <c r="K39" s="12"/>
      <c r="L39" s="10"/>
      <c r="M39" s="10"/>
      <c r="N39" s="12"/>
      <c r="O39" s="12"/>
      <c r="P39" s="12"/>
      <c r="Q39" s="12"/>
      <c r="R39" s="11"/>
      <c r="S39" s="10"/>
      <c r="T39" s="10"/>
      <c r="U39" s="11"/>
      <c r="V39" s="10"/>
      <c r="W39" s="10"/>
      <c r="X39" s="10"/>
      <c r="Y39" s="10"/>
      <c r="Z39" s="10"/>
      <c r="AA39" s="10"/>
    </row>
    <row r="40" spans="1:27" x14ac:dyDescent="0.3">
      <c r="A40" s="8"/>
      <c r="B40" s="8"/>
      <c r="C40" s="10"/>
      <c r="D40" s="11"/>
      <c r="E40" s="11"/>
      <c r="F40" s="11"/>
      <c r="G40" s="11"/>
      <c r="H40" s="11"/>
      <c r="I40" s="11"/>
      <c r="J40" s="25"/>
      <c r="K40" s="12"/>
      <c r="L40" s="11"/>
      <c r="M40" s="11"/>
      <c r="N40" s="10"/>
      <c r="O40" s="12"/>
      <c r="P40" s="12"/>
      <c r="Q40" s="12"/>
      <c r="R40" s="11"/>
      <c r="S40" s="10"/>
      <c r="T40" s="10"/>
      <c r="U40" s="10"/>
      <c r="V40" s="10"/>
      <c r="W40" s="10"/>
      <c r="X40" s="10"/>
      <c r="Y40" s="10"/>
      <c r="Z40" s="10"/>
      <c r="AA40" s="10"/>
    </row>
    <row r="41" spans="1:27" x14ac:dyDescent="0.3">
      <c r="A41" s="8"/>
      <c r="B41" s="8"/>
      <c r="C41" s="10"/>
      <c r="D41" s="11"/>
      <c r="E41" s="11"/>
      <c r="F41" s="11"/>
      <c r="G41" s="11"/>
      <c r="H41" s="11"/>
      <c r="I41" s="11"/>
      <c r="J41" s="25"/>
      <c r="K41" s="12"/>
      <c r="L41" s="15"/>
      <c r="M41" s="11"/>
      <c r="N41" s="10"/>
      <c r="O41" s="12"/>
      <c r="P41" s="12"/>
      <c r="Q41" s="12"/>
      <c r="R41" s="11"/>
      <c r="S41" s="10"/>
      <c r="T41" s="10"/>
      <c r="U41" s="10"/>
      <c r="V41" s="10"/>
      <c r="W41" s="10"/>
      <c r="X41" s="10"/>
      <c r="Y41" s="10"/>
      <c r="Z41" s="10"/>
      <c r="AA41" s="10"/>
    </row>
    <row r="42" spans="1:27" x14ac:dyDescent="0.3">
      <c r="A42" s="8"/>
      <c r="B42" s="8"/>
      <c r="C42" s="10"/>
      <c r="D42" s="11"/>
      <c r="E42" s="11"/>
      <c r="F42" s="11"/>
      <c r="G42" s="11"/>
      <c r="H42" s="11"/>
      <c r="I42" s="11"/>
      <c r="J42" s="25"/>
      <c r="K42" s="12"/>
      <c r="L42" s="11"/>
      <c r="M42" s="11"/>
      <c r="N42" s="10"/>
      <c r="O42" s="12"/>
      <c r="P42" s="12"/>
      <c r="Q42" s="12"/>
      <c r="R42" s="11"/>
      <c r="S42" s="10"/>
      <c r="T42" s="10"/>
      <c r="U42" s="10"/>
      <c r="V42" s="10"/>
      <c r="W42" s="10"/>
      <c r="X42" s="10"/>
      <c r="Y42" s="10"/>
      <c r="Z42" s="10"/>
      <c r="AA42" s="10"/>
    </row>
    <row r="43" spans="1:27" x14ac:dyDescent="0.3">
      <c r="A43" s="8"/>
      <c r="B43" s="8"/>
      <c r="C43" s="10"/>
      <c r="D43" s="11"/>
      <c r="E43" s="11"/>
      <c r="F43" s="11"/>
      <c r="G43" s="11"/>
      <c r="H43" s="11"/>
      <c r="I43" s="11"/>
      <c r="J43" s="25"/>
      <c r="K43" s="12"/>
      <c r="L43" s="11"/>
      <c r="M43" s="11"/>
      <c r="N43" s="10"/>
      <c r="O43" s="12"/>
      <c r="P43" s="12"/>
      <c r="Q43" s="12"/>
      <c r="R43" s="11"/>
      <c r="S43" s="10"/>
      <c r="T43" s="10"/>
      <c r="U43" s="10"/>
      <c r="V43" s="10"/>
      <c r="W43" s="10"/>
      <c r="X43" s="10"/>
      <c r="Y43" s="10"/>
      <c r="Z43" s="10"/>
      <c r="AA43" s="10"/>
    </row>
    <row r="44" spans="1:27" x14ac:dyDescent="0.3">
      <c r="A44" s="8"/>
      <c r="B44" s="8"/>
      <c r="C44" s="10"/>
      <c r="D44" s="11"/>
      <c r="E44" s="11"/>
      <c r="F44" s="11"/>
      <c r="G44" s="11"/>
      <c r="H44" s="11"/>
      <c r="I44" s="11"/>
      <c r="J44" s="25"/>
      <c r="K44" s="12"/>
      <c r="L44" s="10"/>
      <c r="M44" s="10"/>
      <c r="N44" s="12"/>
      <c r="O44" s="11"/>
      <c r="P44" s="11"/>
      <c r="Q44" s="12"/>
      <c r="R44" s="11"/>
      <c r="S44" s="10"/>
      <c r="T44" s="10"/>
      <c r="U44" s="10"/>
      <c r="V44" s="10"/>
      <c r="W44" s="10"/>
      <c r="X44" s="10"/>
      <c r="Y44" s="10"/>
      <c r="Z44" s="10"/>
      <c r="AA44" s="10"/>
    </row>
    <row r="45" spans="1:27" x14ac:dyDescent="0.3">
      <c r="A45" s="8"/>
      <c r="B45" s="8"/>
      <c r="C45" s="10"/>
      <c r="D45" s="11"/>
      <c r="E45" s="11"/>
      <c r="F45" s="11"/>
      <c r="G45" s="11"/>
      <c r="H45" s="11"/>
      <c r="I45" s="11"/>
      <c r="J45" s="25"/>
      <c r="K45" s="12"/>
      <c r="L45" s="15"/>
      <c r="M45" s="15"/>
      <c r="N45" s="10"/>
      <c r="O45" s="12"/>
      <c r="P45" s="12"/>
      <c r="Q45" s="12"/>
      <c r="R45" s="11"/>
      <c r="S45" s="10"/>
      <c r="T45" s="10"/>
      <c r="U45" s="11"/>
      <c r="V45" s="10"/>
      <c r="W45" s="10"/>
      <c r="X45" s="10"/>
      <c r="Y45" s="10"/>
      <c r="Z45" s="10"/>
      <c r="AA45" s="10"/>
    </row>
    <row r="46" spans="1:27" x14ac:dyDescent="0.3">
      <c r="A46" s="8"/>
      <c r="B46" s="8"/>
      <c r="C46" s="10"/>
      <c r="D46" s="11"/>
      <c r="E46" s="11"/>
      <c r="F46" s="11"/>
      <c r="G46" s="11"/>
      <c r="H46" s="11"/>
      <c r="I46" s="11"/>
      <c r="J46" s="25"/>
      <c r="K46" s="11"/>
      <c r="L46" s="11"/>
      <c r="M46" s="11"/>
      <c r="N46" s="10"/>
      <c r="O46" s="12"/>
      <c r="P46" s="12"/>
      <c r="Q46" s="12"/>
      <c r="R46" s="11"/>
      <c r="S46" s="10"/>
      <c r="T46" s="10"/>
      <c r="U46" s="11"/>
      <c r="V46" s="10"/>
      <c r="W46" s="10"/>
      <c r="X46" s="10"/>
      <c r="Y46" s="10"/>
      <c r="Z46" s="10"/>
      <c r="AA46" s="10"/>
    </row>
    <row r="47" spans="1:27" x14ac:dyDescent="0.3">
      <c r="A47" s="8"/>
      <c r="B47" s="8"/>
      <c r="C47" s="10"/>
      <c r="D47" s="11"/>
      <c r="E47" s="11"/>
      <c r="F47" s="11"/>
      <c r="G47" s="11"/>
      <c r="H47" s="11"/>
      <c r="I47" s="11"/>
      <c r="J47" s="25"/>
      <c r="K47" s="12"/>
      <c r="L47" s="10"/>
      <c r="M47" s="10"/>
      <c r="N47" s="12"/>
      <c r="O47" s="11"/>
      <c r="P47" s="11"/>
      <c r="Q47" s="12"/>
      <c r="R47" s="11"/>
      <c r="S47" s="10"/>
      <c r="T47" s="10"/>
      <c r="U47" s="10"/>
      <c r="V47" s="10"/>
      <c r="W47" s="10"/>
      <c r="X47" s="10"/>
      <c r="Y47" s="10"/>
      <c r="Z47" s="10"/>
      <c r="AA47" s="10"/>
    </row>
    <row r="48" spans="1:27" x14ac:dyDescent="0.3">
      <c r="A48" s="8"/>
      <c r="B48" s="8"/>
      <c r="C48" s="10"/>
      <c r="D48" s="11"/>
      <c r="E48" s="11"/>
      <c r="F48" s="10"/>
      <c r="G48" s="11"/>
      <c r="H48" s="11"/>
      <c r="I48" s="11"/>
      <c r="J48" s="25"/>
      <c r="K48" s="12"/>
      <c r="L48" s="15"/>
      <c r="M48" s="11"/>
      <c r="N48" s="10"/>
      <c r="O48" s="12"/>
      <c r="P48" s="12"/>
      <c r="Q48" s="12"/>
      <c r="R48" s="11"/>
      <c r="S48" s="10"/>
      <c r="T48" s="10"/>
      <c r="U48" s="11"/>
      <c r="V48" s="11"/>
      <c r="W48" s="11"/>
      <c r="X48" s="10"/>
      <c r="Y48" s="10"/>
      <c r="Z48" s="10"/>
      <c r="AA48" s="10"/>
    </row>
    <row r="49" spans="1:27" x14ac:dyDescent="0.3">
      <c r="A49" s="8"/>
      <c r="B49" s="8"/>
      <c r="C49" s="10"/>
      <c r="D49" s="11"/>
      <c r="E49" s="11"/>
      <c r="F49" s="10"/>
      <c r="G49" s="11"/>
      <c r="H49" s="11"/>
      <c r="I49" s="11"/>
      <c r="J49" s="25"/>
      <c r="K49" s="12"/>
      <c r="L49" s="10"/>
      <c r="M49" s="10"/>
      <c r="N49" s="12"/>
      <c r="O49" s="12"/>
      <c r="P49" s="12"/>
      <c r="Q49" s="12"/>
      <c r="R49" s="11"/>
      <c r="S49" s="10"/>
      <c r="T49" s="10"/>
      <c r="U49" s="11"/>
      <c r="V49" s="11"/>
      <c r="W49" s="11"/>
      <c r="X49" s="10"/>
      <c r="Y49" s="10"/>
      <c r="Z49" s="10"/>
      <c r="AA49" s="10"/>
    </row>
    <row r="50" spans="1:27" x14ac:dyDescent="0.3">
      <c r="A50" s="8"/>
      <c r="B50" s="8"/>
      <c r="C50" s="10"/>
      <c r="D50" s="11"/>
      <c r="E50" s="11"/>
      <c r="F50" s="10"/>
      <c r="G50" s="11"/>
      <c r="H50" s="11"/>
      <c r="I50" s="11"/>
      <c r="J50" s="25"/>
      <c r="K50" s="12"/>
      <c r="L50" s="10"/>
      <c r="M50" s="10"/>
      <c r="N50" s="12"/>
      <c r="O50" s="12"/>
      <c r="P50" s="12"/>
      <c r="Q50" s="12"/>
      <c r="R50" s="11"/>
      <c r="S50" s="10"/>
      <c r="T50" s="10"/>
      <c r="U50" s="11"/>
      <c r="V50" s="11"/>
      <c r="W50" s="11"/>
      <c r="X50" s="10"/>
      <c r="Y50" s="10"/>
      <c r="Z50" s="10"/>
      <c r="AA50" s="10"/>
    </row>
    <row r="51" spans="1:27" x14ac:dyDescent="0.3">
      <c r="A51" s="8"/>
      <c r="B51" s="8"/>
      <c r="C51" s="10"/>
      <c r="D51" s="11"/>
      <c r="E51" s="11"/>
      <c r="F51" s="10"/>
      <c r="G51" s="11"/>
      <c r="H51" s="11"/>
      <c r="I51" s="11"/>
      <c r="J51" s="25"/>
      <c r="K51" s="12"/>
      <c r="L51" s="10"/>
      <c r="M51" s="10"/>
      <c r="N51" s="12"/>
      <c r="O51" s="12"/>
      <c r="P51" s="12"/>
      <c r="Q51" s="12"/>
      <c r="R51" s="11"/>
      <c r="S51" s="10"/>
      <c r="T51" s="10"/>
      <c r="U51" s="11"/>
      <c r="V51" s="10"/>
      <c r="W51" s="10"/>
      <c r="X51" s="10"/>
      <c r="Y51" s="10"/>
      <c r="Z51" s="10"/>
      <c r="AA51" s="10"/>
    </row>
    <row r="52" spans="1:27" x14ac:dyDescent="0.3">
      <c r="A52" s="8"/>
      <c r="B52" s="8"/>
      <c r="C52" s="10"/>
      <c r="D52" s="11"/>
      <c r="E52" s="11"/>
      <c r="F52" s="10"/>
      <c r="G52" s="11"/>
      <c r="H52" s="11"/>
      <c r="I52" s="11"/>
      <c r="J52" s="25"/>
      <c r="K52" s="12"/>
      <c r="L52" s="10"/>
      <c r="M52" s="10"/>
      <c r="N52" s="12"/>
      <c r="O52" s="12"/>
      <c r="P52" s="12"/>
      <c r="Q52" s="12"/>
      <c r="R52" s="11"/>
      <c r="S52" s="10"/>
      <c r="T52" s="10"/>
      <c r="U52" s="11"/>
      <c r="V52" s="11"/>
      <c r="W52" s="11"/>
      <c r="X52" s="10"/>
      <c r="Y52" s="10"/>
      <c r="Z52" s="10"/>
      <c r="AA52" s="10"/>
    </row>
    <row r="53" spans="1:27" x14ac:dyDescent="0.3">
      <c r="A53" s="8"/>
      <c r="B53" s="8"/>
      <c r="C53" s="10"/>
      <c r="D53" s="11"/>
      <c r="E53" s="11"/>
      <c r="F53" s="10"/>
      <c r="G53" s="11"/>
      <c r="H53" s="11"/>
      <c r="I53" s="11"/>
      <c r="J53" s="25"/>
      <c r="K53" s="12"/>
      <c r="L53" s="10"/>
      <c r="M53" s="10"/>
      <c r="N53" s="12"/>
      <c r="O53" s="12"/>
      <c r="P53" s="12"/>
      <c r="Q53" s="12"/>
      <c r="R53" s="11"/>
      <c r="S53" s="10"/>
      <c r="T53" s="10"/>
      <c r="U53" s="11"/>
      <c r="V53" s="11"/>
      <c r="W53" s="11"/>
      <c r="X53" s="10"/>
      <c r="Y53" s="10"/>
      <c r="Z53" s="10"/>
      <c r="AA53" s="10"/>
    </row>
    <row r="54" spans="1:27" x14ac:dyDescent="0.3">
      <c r="A54" s="8"/>
      <c r="B54" s="8"/>
      <c r="C54" s="10"/>
      <c r="D54" s="11"/>
      <c r="E54" s="11"/>
      <c r="F54" s="10"/>
      <c r="G54" s="11"/>
      <c r="H54" s="11"/>
      <c r="I54" s="11"/>
      <c r="J54" s="25"/>
      <c r="K54" s="12"/>
      <c r="L54" s="10"/>
      <c r="M54" s="10"/>
      <c r="N54" s="12"/>
      <c r="O54" s="12"/>
      <c r="P54" s="12"/>
      <c r="Q54" s="12"/>
      <c r="R54" s="11"/>
      <c r="S54" s="10"/>
      <c r="T54" s="10"/>
      <c r="U54" s="11"/>
      <c r="V54" s="10"/>
      <c r="W54" s="10"/>
      <c r="X54" s="10"/>
      <c r="Y54" s="10"/>
      <c r="Z54" s="10"/>
      <c r="AA54" s="10"/>
    </row>
    <row r="55" spans="1:27" x14ac:dyDescent="0.3">
      <c r="A55" s="8"/>
      <c r="B55" s="8"/>
      <c r="C55" s="10"/>
      <c r="D55" s="11"/>
      <c r="E55" s="11"/>
      <c r="F55" s="10"/>
      <c r="G55" s="11"/>
      <c r="H55" s="11"/>
      <c r="I55" s="11"/>
      <c r="J55" s="25"/>
      <c r="K55" s="12"/>
      <c r="L55" s="10"/>
      <c r="M55" s="10"/>
      <c r="N55" s="12"/>
      <c r="O55" s="12"/>
      <c r="P55" s="12"/>
      <c r="Q55" s="12"/>
      <c r="R55" s="11"/>
      <c r="S55" s="10"/>
      <c r="T55" s="10"/>
      <c r="U55" s="11"/>
      <c r="V55" s="10"/>
      <c r="W55" s="10"/>
      <c r="X55" s="10"/>
      <c r="Y55" s="10"/>
      <c r="Z55" s="10"/>
      <c r="AA55" s="10"/>
    </row>
    <row r="56" spans="1:27" x14ac:dyDescent="0.3">
      <c r="A56" s="8"/>
      <c r="B56" s="8"/>
      <c r="C56" s="10"/>
      <c r="D56" s="11"/>
      <c r="E56" s="11"/>
      <c r="F56" s="10"/>
      <c r="G56" s="11"/>
      <c r="H56" s="11"/>
      <c r="I56" s="11"/>
      <c r="J56" s="25"/>
      <c r="K56" s="12"/>
      <c r="L56" s="15"/>
      <c r="M56" s="11"/>
      <c r="N56" s="10"/>
      <c r="O56" s="12"/>
      <c r="P56" s="12"/>
      <c r="Q56" s="12"/>
      <c r="R56" s="11"/>
      <c r="S56" s="10"/>
      <c r="T56" s="10"/>
      <c r="U56" s="11"/>
      <c r="V56" s="11"/>
      <c r="W56" s="11"/>
      <c r="X56" s="10"/>
      <c r="Y56" s="10"/>
      <c r="Z56" s="10"/>
      <c r="AA56" s="10"/>
    </row>
    <row r="57" spans="1:27" x14ac:dyDescent="0.3">
      <c r="A57" s="8"/>
      <c r="B57" s="8"/>
      <c r="C57" s="10"/>
      <c r="D57" s="11"/>
      <c r="E57" s="11"/>
      <c r="F57" s="10"/>
      <c r="G57" s="11"/>
      <c r="H57" s="11"/>
      <c r="I57" s="11"/>
      <c r="J57" s="25"/>
      <c r="K57" s="12"/>
      <c r="L57" s="10"/>
      <c r="M57" s="10"/>
      <c r="N57" s="12"/>
      <c r="O57" s="12"/>
      <c r="P57" s="12"/>
      <c r="Q57" s="12"/>
      <c r="R57" s="11"/>
      <c r="S57" s="10"/>
      <c r="T57" s="10"/>
      <c r="U57" s="11"/>
      <c r="V57" s="11"/>
      <c r="W57" s="11"/>
      <c r="X57" s="10"/>
      <c r="Y57" s="10"/>
      <c r="Z57" s="10"/>
      <c r="AA57" s="10"/>
    </row>
    <row r="58" spans="1:27" x14ac:dyDescent="0.3">
      <c r="A58" s="8"/>
      <c r="B58" s="8"/>
      <c r="C58" s="10"/>
      <c r="D58" s="11"/>
      <c r="E58" s="11"/>
      <c r="F58" s="10"/>
      <c r="G58" s="11"/>
      <c r="H58" s="11"/>
      <c r="I58" s="11"/>
      <c r="J58" s="25"/>
      <c r="K58" s="12"/>
      <c r="L58" s="15"/>
      <c r="M58" s="15"/>
      <c r="N58" s="10"/>
      <c r="O58" s="12"/>
      <c r="P58" s="12"/>
      <c r="Q58" s="12"/>
      <c r="R58" s="11"/>
      <c r="S58" s="10"/>
      <c r="T58" s="10"/>
      <c r="U58" s="11"/>
      <c r="V58" s="10"/>
      <c r="W58" s="10"/>
      <c r="X58" s="10"/>
      <c r="Y58" s="10"/>
      <c r="Z58" s="10"/>
      <c r="AA58" s="10"/>
    </row>
    <row r="59" spans="1:27" x14ac:dyDescent="0.3">
      <c r="A59" s="8"/>
      <c r="B59" s="8"/>
      <c r="C59" s="10"/>
      <c r="D59" s="11"/>
      <c r="E59" s="11"/>
      <c r="F59" s="10"/>
      <c r="G59" s="11"/>
      <c r="H59" s="11"/>
      <c r="I59" s="11"/>
      <c r="J59" s="25"/>
      <c r="K59" s="12"/>
      <c r="L59" s="15"/>
      <c r="M59" s="11"/>
      <c r="N59" s="10"/>
      <c r="O59" s="11"/>
      <c r="P59" s="12"/>
      <c r="Q59" s="12"/>
      <c r="R59" s="11"/>
      <c r="S59" s="10"/>
      <c r="T59" s="10"/>
      <c r="U59" s="11"/>
      <c r="V59" s="10"/>
      <c r="W59" s="10"/>
      <c r="X59" s="10"/>
      <c r="Y59" s="10"/>
      <c r="Z59" s="10"/>
      <c r="AA59" s="10"/>
    </row>
    <row r="60" spans="1:27" x14ac:dyDescent="0.3">
      <c r="A60" s="8"/>
      <c r="B60" s="8"/>
      <c r="C60" s="10"/>
      <c r="D60" s="11"/>
      <c r="E60" s="11"/>
      <c r="F60" s="10"/>
      <c r="G60" s="11"/>
      <c r="H60" s="11"/>
      <c r="I60" s="11"/>
      <c r="J60" s="25"/>
      <c r="K60" s="12"/>
      <c r="L60" s="15"/>
      <c r="M60" s="11"/>
      <c r="N60" s="10"/>
      <c r="O60" s="12"/>
      <c r="P60" s="12"/>
      <c r="Q60" s="12"/>
      <c r="R60" s="11"/>
      <c r="S60" s="10"/>
      <c r="T60" s="10"/>
      <c r="U60" s="11"/>
      <c r="V60" s="10"/>
      <c r="W60" s="10"/>
      <c r="X60" s="10"/>
      <c r="Y60" s="10"/>
      <c r="Z60" s="10"/>
      <c r="AA60" s="10"/>
    </row>
    <row r="61" spans="1:27" x14ac:dyDescent="0.3">
      <c r="A61" s="8"/>
      <c r="B61" s="8"/>
      <c r="C61" s="10"/>
      <c r="D61" s="11"/>
      <c r="E61" s="11"/>
      <c r="F61" s="10"/>
      <c r="G61" s="11"/>
      <c r="H61" s="11"/>
      <c r="I61" s="11"/>
      <c r="J61" s="25"/>
      <c r="K61" s="12"/>
      <c r="L61" s="10"/>
      <c r="M61" s="10"/>
      <c r="N61" s="12"/>
      <c r="O61" s="12"/>
      <c r="P61" s="12"/>
      <c r="Q61" s="12"/>
      <c r="R61" s="11"/>
      <c r="S61" s="10"/>
      <c r="T61" s="10"/>
      <c r="U61" s="11"/>
      <c r="V61" s="10"/>
      <c r="W61" s="10"/>
      <c r="X61" s="10"/>
      <c r="Y61" s="10"/>
      <c r="Z61" s="10"/>
      <c r="AA61" s="10"/>
    </row>
    <row r="62" spans="1:27" x14ac:dyDescent="0.3">
      <c r="A62" s="8"/>
      <c r="B62" s="8"/>
      <c r="C62" s="10"/>
      <c r="D62" s="11"/>
      <c r="E62" s="11"/>
      <c r="F62" s="10"/>
      <c r="G62" s="11"/>
      <c r="H62" s="11"/>
      <c r="I62" s="11"/>
      <c r="J62" s="25"/>
      <c r="K62" s="12"/>
      <c r="L62" s="10"/>
      <c r="M62" s="10"/>
      <c r="N62" s="12"/>
      <c r="O62" s="12"/>
      <c r="P62" s="12"/>
      <c r="Q62" s="12"/>
      <c r="R62" s="10"/>
      <c r="S62" s="10"/>
      <c r="T62" s="10"/>
      <c r="U62" s="11"/>
      <c r="V62" s="10"/>
      <c r="W62" s="10"/>
      <c r="X62" s="10"/>
      <c r="Y62" s="10"/>
      <c r="Z62" s="10"/>
      <c r="AA62" s="10"/>
    </row>
    <row r="63" spans="1:27" x14ac:dyDescent="0.3">
      <c r="A63" s="8"/>
      <c r="B63" s="8"/>
      <c r="C63" s="10"/>
      <c r="D63" s="11"/>
      <c r="E63" s="11"/>
      <c r="F63" s="10"/>
      <c r="G63" s="11"/>
      <c r="H63" s="11"/>
      <c r="I63" s="11"/>
      <c r="J63" s="25"/>
      <c r="K63" s="12"/>
      <c r="L63" s="10"/>
      <c r="M63" s="10"/>
      <c r="N63" s="12"/>
      <c r="O63" s="12"/>
      <c r="P63" s="12"/>
      <c r="Q63" s="12"/>
      <c r="R63" s="10"/>
      <c r="S63" s="10"/>
      <c r="T63" s="10"/>
      <c r="U63" s="11"/>
      <c r="V63" s="10"/>
      <c r="W63" s="10"/>
      <c r="X63" s="10"/>
      <c r="Y63" s="10"/>
      <c r="Z63" s="10"/>
      <c r="AA63" s="10"/>
    </row>
    <row r="64" spans="1:27" x14ac:dyDescent="0.3">
      <c r="A64" s="8"/>
      <c r="B64" s="8"/>
      <c r="C64" s="10"/>
      <c r="D64" s="11"/>
      <c r="E64" s="11"/>
      <c r="F64" s="10"/>
      <c r="G64" s="11"/>
      <c r="H64" s="11"/>
      <c r="I64" s="11"/>
      <c r="J64" s="25"/>
      <c r="K64" s="12"/>
      <c r="L64" s="10"/>
      <c r="M64" s="10"/>
      <c r="N64" s="12"/>
      <c r="O64" s="12"/>
      <c r="P64" s="12"/>
      <c r="Q64" s="12"/>
      <c r="R64" s="10"/>
      <c r="S64" s="10"/>
      <c r="T64" s="10"/>
      <c r="U64" s="11"/>
      <c r="V64" s="10"/>
      <c r="W64" s="10"/>
      <c r="X64" s="10"/>
      <c r="Y64" s="10"/>
      <c r="Z64" s="10"/>
      <c r="AA64" s="10"/>
    </row>
    <row r="65" spans="1:27" x14ac:dyDescent="0.3">
      <c r="A65" s="8"/>
      <c r="B65" s="8"/>
      <c r="C65" s="10"/>
      <c r="D65" s="11"/>
      <c r="E65" s="11"/>
      <c r="F65" s="10"/>
      <c r="G65" s="11"/>
      <c r="H65" s="11"/>
      <c r="I65" s="11"/>
      <c r="J65" s="25"/>
      <c r="K65" s="12"/>
      <c r="L65" s="10"/>
      <c r="M65" s="10"/>
      <c r="N65" s="12"/>
      <c r="O65" s="12"/>
      <c r="P65" s="12"/>
      <c r="Q65" s="12"/>
      <c r="R65" s="11"/>
      <c r="S65" s="10"/>
      <c r="T65" s="10"/>
      <c r="U65" s="11"/>
      <c r="V65" s="11"/>
      <c r="W65" s="11"/>
      <c r="X65" s="10"/>
      <c r="Y65" s="10"/>
      <c r="Z65" s="10"/>
      <c r="AA65" s="10"/>
    </row>
    <row r="66" spans="1:27" x14ac:dyDescent="0.3">
      <c r="A66" s="8"/>
      <c r="B66" s="8"/>
      <c r="C66" s="10"/>
      <c r="D66" s="11"/>
      <c r="E66" s="11"/>
      <c r="F66" s="10"/>
      <c r="G66" s="11"/>
      <c r="H66" s="11"/>
      <c r="I66" s="11"/>
      <c r="J66" s="25"/>
      <c r="K66" s="12"/>
      <c r="L66" s="10"/>
      <c r="M66" s="10"/>
      <c r="N66" s="12"/>
      <c r="O66" s="12"/>
      <c r="P66" s="12"/>
      <c r="Q66" s="12"/>
      <c r="R66" s="10"/>
      <c r="S66" s="10"/>
      <c r="T66" s="10"/>
      <c r="U66" s="11"/>
      <c r="V66" s="11"/>
      <c r="W66" s="11"/>
      <c r="X66" s="10"/>
      <c r="Y66" s="10"/>
      <c r="Z66" s="10"/>
      <c r="AA66" s="10"/>
    </row>
    <row r="67" spans="1:27" x14ac:dyDescent="0.3">
      <c r="A67" s="8"/>
      <c r="B67" s="8"/>
      <c r="C67" s="10"/>
      <c r="D67" s="11"/>
      <c r="E67" s="11"/>
      <c r="F67" s="10"/>
      <c r="G67" s="11"/>
      <c r="H67" s="11"/>
      <c r="I67" s="11"/>
      <c r="J67" s="25"/>
      <c r="K67" s="12"/>
      <c r="L67" s="11"/>
      <c r="M67" s="11"/>
      <c r="N67" s="10"/>
      <c r="O67" s="12"/>
      <c r="P67" s="12"/>
      <c r="Q67" s="12"/>
      <c r="R67" s="11"/>
      <c r="S67" s="10"/>
      <c r="T67" s="10"/>
      <c r="U67" s="11"/>
      <c r="V67" s="11"/>
      <c r="W67" s="11"/>
      <c r="X67" s="10"/>
      <c r="Y67" s="10"/>
      <c r="Z67" s="10"/>
      <c r="AA67" s="10"/>
    </row>
    <row r="68" spans="1:27" x14ac:dyDescent="0.3">
      <c r="A68" s="8"/>
      <c r="B68" s="8"/>
      <c r="C68" s="10"/>
      <c r="D68" s="11"/>
      <c r="E68" s="11"/>
      <c r="F68" s="10"/>
      <c r="G68" s="11"/>
      <c r="H68" s="11"/>
      <c r="I68" s="11"/>
      <c r="J68" s="25"/>
      <c r="K68" s="12"/>
      <c r="L68" s="10"/>
      <c r="M68" s="10"/>
      <c r="N68" s="12"/>
      <c r="O68" s="12"/>
      <c r="P68" s="12"/>
      <c r="Q68" s="12"/>
      <c r="R68" s="11"/>
      <c r="S68" s="10"/>
      <c r="T68" s="10"/>
      <c r="U68" s="11"/>
      <c r="V68" s="11"/>
      <c r="W68" s="11"/>
      <c r="X68" s="10"/>
      <c r="Y68" s="10"/>
      <c r="Z68" s="10"/>
      <c r="AA68" s="10"/>
    </row>
    <row r="69" spans="1:27" x14ac:dyDescent="0.3">
      <c r="A69" s="8"/>
      <c r="B69" s="8"/>
      <c r="C69" s="10"/>
      <c r="D69" s="11"/>
      <c r="E69" s="11"/>
      <c r="F69" s="10"/>
      <c r="G69" s="11"/>
      <c r="H69" s="11"/>
      <c r="I69" s="11"/>
      <c r="J69" s="25"/>
      <c r="K69" s="12"/>
      <c r="L69" s="15"/>
      <c r="M69" s="11"/>
      <c r="N69" s="10"/>
      <c r="O69" s="12"/>
      <c r="P69" s="12"/>
      <c r="Q69" s="12"/>
      <c r="R69" s="11"/>
      <c r="S69" s="10"/>
      <c r="T69" s="10"/>
      <c r="U69" s="11"/>
      <c r="V69" s="11"/>
      <c r="W69" s="11"/>
      <c r="X69" s="10"/>
      <c r="Y69" s="10"/>
      <c r="Z69" s="10"/>
      <c r="AA69" s="10"/>
    </row>
    <row r="70" spans="1:27" x14ac:dyDescent="0.3">
      <c r="A70" s="8"/>
      <c r="B70" s="8"/>
      <c r="C70" s="10"/>
      <c r="D70" s="11"/>
      <c r="E70" s="11"/>
      <c r="F70" s="10"/>
      <c r="G70" s="11"/>
      <c r="H70" s="11"/>
      <c r="I70" s="11"/>
      <c r="J70" s="25"/>
      <c r="K70" s="12"/>
      <c r="L70" s="10"/>
      <c r="M70" s="10"/>
      <c r="N70" s="12"/>
      <c r="O70" s="12"/>
      <c r="P70" s="12"/>
      <c r="Q70" s="12"/>
      <c r="R70" s="11"/>
      <c r="S70" s="10"/>
      <c r="T70" s="10"/>
      <c r="U70" s="11"/>
      <c r="V70" s="11"/>
      <c r="W70" s="11"/>
      <c r="X70" s="10"/>
      <c r="Y70" s="10"/>
      <c r="Z70" s="10"/>
      <c r="AA70" s="10"/>
    </row>
    <row r="71" spans="1:27" x14ac:dyDescent="0.3">
      <c r="A71" s="8"/>
      <c r="B71" s="8"/>
      <c r="C71" s="10"/>
      <c r="D71" s="11"/>
      <c r="E71" s="11"/>
      <c r="F71" s="10"/>
      <c r="G71" s="11"/>
      <c r="H71" s="11"/>
      <c r="I71" s="11"/>
      <c r="J71" s="25"/>
      <c r="K71" s="12"/>
      <c r="L71" s="11"/>
      <c r="M71" s="11"/>
      <c r="N71" s="10"/>
      <c r="O71" s="12"/>
      <c r="P71" s="12"/>
      <c r="Q71" s="12"/>
      <c r="R71" s="11"/>
      <c r="S71" s="10"/>
      <c r="T71" s="10"/>
      <c r="U71" s="11"/>
      <c r="V71" s="11"/>
      <c r="W71" s="11"/>
      <c r="X71" s="10"/>
      <c r="Y71" s="10"/>
      <c r="Z71" s="10"/>
      <c r="AA71" s="10"/>
    </row>
    <row r="72" spans="1:27" x14ac:dyDescent="0.3">
      <c r="A72" s="8"/>
      <c r="B72" s="8"/>
      <c r="C72" s="10"/>
      <c r="D72" s="11"/>
      <c r="E72" s="11"/>
      <c r="F72" s="10"/>
      <c r="G72" s="11"/>
      <c r="H72" s="11"/>
      <c r="I72" s="11"/>
      <c r="J72" s="25"/>
      <c r="K72" s="12"/>
      <c r="L72" s="10"/>
      <c r="M72" s="10"/>
      <c r="N72" s="12"/>
      <c r="O72" s="12"/>
      <c r="P72" s="12"/>
      <c r="Q72" s="12"/>
      <c r="R72" s="10"/>
      <c r="S72" s="10"/>
      <c r="T72" s="10"/>
      <c r="U72" s="11"/>
      <c r="V72" s="10"/>
      <c r="W72" s="10"/>
      <c r="X72" s="10"/>
      <c r="Y72" s="10"/>
      <c r="Z72" s="10"/>
      <c r="AA72" s="10"/>
    </row>
    <row r="73" spans="1:27" x14ac:dyDescent="0.3">
      <c r="A73" s="8"/>
      <c r="B73" s="8"/>
      <c r="C73" s="10"/>
      <c r="D73" s="11"/>
      <c r="E73" s="11"/>
      <c r="F73" s="10"/>
      <c r="G73" s="11"/>
      <c r="H73" s="11"/>
      <c r="I73" s="11"/>
      <c r="J73" s="25"/>
      <c r="K73" s="12"/>
      <c r="L73" s="10"/>
      <c r="M73" s="10"/>
      <c r="N73" s="10"/>
      <c r="O73" s="12"/>
      <c r="P73" s="12"/>
      <c r="Q73" s="12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 x14ac:dyDescent="0.3">
      <c r="A74" s="8"/>
      <c r="B74" s="8"/>
      <c r="C74" s="10"/>
      <c r="D74" s="11"/>
      <c r="E74" s="11"/>
      <c r="F74" s="10"/>
      <c r="G74" s="11"/>
      <c r="H74" s="11"/>
      <c r="I74" s="11"/>
      <c r="J74" s="25"/>
      <c r="K74" s="12"/>
      <c r="L74" s="10"/>
      <c r="M74" s="10"/>
      <c r="N74" s="12"/>
      <c r="O74" s="12"/>
      <c r="P74" s="12"/>
      <c r="Q74" s="12"/>
      <c r="R74" s="11"/>
      <c r="S74" s="10"/>
      <c r="T74" s="10"/>
      <c r="U74" s="11"/>
      <c r="V74" s="11"/>
      <c r="W74" s="11"/>
      <c r="X74" s="10"/>
      <c r="Y74" s="10"/>
      <c r="Z74" s="10"/>
      <c r="AA74" s="10"/>
    </row>
    <row r="75" spans="1:27" x14ac:dyDescent="0.3">
      <c r="A75" s="8"/>
      <c r="B75" s="8"/>
      <c r="C75" s="10"/>
      <c r="D75" s="11"/>
      <c r="E75" s="11"/>
      <c r="F75" s="10"/>
      <c r="G75" s="11"/>
      <c r="H75" s="11"/>
      <c r="I75" s="11"/>
      <c r="J75" s="25"/>
      <c r="K75" s="12"/>
      <c r="L75" s="10"/>
      <c r="M75" s="10"/>
      <c r="N75" s="12"/>
      <c r="O75" s="12"/>
      <c r="P75" s="12"/>
      <c r="Q75" s="12"/>
      <c r="R75" s="11"/>
      <c r="S75" s="10"/>
      <c r="T75" s="10"/>
      <c r="U75" s="11"/>
      <c r="V75" s="11"/>
      <c r="W75" s="11"/>
      <c r="X75" s="10"/>
      <c r="Y75" s="10"/>
      <c r="Z75" s="10"/>
      <c r="AA75" s="10"/>
    </row>
    <row r="76" spans="1:27" x14ac:dyDescent="0.3">
      <c r="A76" s="8"/>
      <c r="B76" s="8"/>
      <c r="C76" s="10"/>
      <c r="D76" s="11"/>
      <c r="E76" s="11"/>
      <c r="F76" s="10"/>
      <c r="G76" s="11"/>
      <c r="H76" s="11"/>
      <c r="I76" s="11"/>
      <c r="J76" s="25"/>
      <c r="K76" s="12"/>
      <c r="L76" s="11"/>
      <c r="M76" s="11"/>
      <c r="N76" s="10"/>
      <c r="O76" s="12"/>
      <c r="P76" s="12"/>
      <c r="Q76" s="12"/>
      <c r="R76" s="11"/>
      <c r="S76" s="10"/>
      <c r="T76" s="10"/>
      <c r="U76" s="11"/>
      <c r="V76" s="11"/>
      <c r="W76" s="11"/>
      <c r="X76" s="10"/>
      <c r="Y76" s="10"/>
      <c r="Z76" s="10"/>
      <c r="AA76" s="10"/>
    </row>
    <row r="77" spans="1:27" x14ac:dyDescent="0.3">
      <c r="A77" s="8"/>
      <c r="B77" s="8"/>
      <c r="C77" s="10"/>
      <c r="D77" s="11"/>
      <c r="E77" s="11"/>
      <c r="F77" s="10"/>
      <c r="G77" s="11"/>
      <c r="H77" s="11"/>
      <c r="I77" s="11"/>
      <c r="J77" s="25"/>
      <c r="K77" s="12"/>
      <c r="L77" s="10"/>
      <c r="M77" s="10"/>
      <c r="N77" s="12"/>
      <c r="O77" s="12"/>
      <c r="P77" s="12"/>
      <c r="Q77" s="12"/>
      <c r="R77" s="11"/>
      <c r="S77" s="10"/>
      <c r="T77" s="10"/>
      <c r="U77" s="11"/>
      <c r="V77" s="11"/>
      <c r="W77" s="11"/>
      <c r="X77" s="10"/>
      <c r="Y77" s="10"/>
      <c r="Z77" s="10"/>
      <c r="AA77" s="10"/>
    </row>
    <row r="78" spans="1:27" x14ac:dyDescent="0.3">
      <c r="A78" s="8"/>
      <c r="B78" s="8"/>
      <c r="C78" s="10"/>
      <c r="D78" s="11"/>
      <c r="E78" s="11"/>
      <c r="F78" s="10"/>
      <c r="G78" s="11"/>
      <c r="H78" s="11"/>
      <c r="I78" s="11"/>
      <c r="J78" s="25"/>
      <c r="K78" s="12"/>
      <c r="L78" s="10"/>
      <c r="M78" s="10"/>
      <c r="N78" s="12"/>
      <c r="O78" s="12"/>
      <c r="P78" s="12"/>
      <c r="Q78" s="12"/>
      <c r="R78" s="11"/>
      <c r="S78" s="10"/>
      <c r="T78" s="10"/>
      <c r="U78" s="11"/>
      <c r="V78" s="11"/>
      <c r="W78" s="11"/>
      <c r="X78" s="10"/>
      <c r="Y78" s="10"/>
      <c r="Z78" s="10"/>
      <c r="AA78" s="10"/>
    </row>
    <row r="79" spans="1:27" x14ac:dyDescent="0.3">
      <c r="A79" s="8"/>
      <c r="B79" s="8"/>
      <c r="C79" s="10"/>
      <c r="D79" s="11"/>
      <c r="E79" s="11"/>
      <c r="F79" s="10"/>
      <c r="G79" s="11"/>
      <c r="H79" s="11"/>
      <c r="I79" s="11"/>
      <c r="J79" s="25"/>
      <c r="K79" s="12"/>
      <c r="L79" s="10"/>
      <c r="M79" s="10"/>
      <c r="N79" s="12"/>
      <c r="O79" s="12"/>
      <c r="P79" s="12"/>
      <c r="Q79" s="12"/>
      <c r="R79" s="11"/>
      <c r="S79" s="10"/>
      <c r="T79" s="10"/>
      <c r="U79" s="11"/>
      <c r="V79" s="11"/>
      <c r="W79" s="11"/>
      <c r="X79" s="10"/>
      <c r="Y79" s="10"/>
      <c r="Z79" s="10"/>
      <c r="AA79" s="10"/>
    </row>
    <row r="80" spans="1:27" x14ac:dyDescent="0.3">
      <c r="A80" s="8"/>
      <c r="B80" s="8"/>
      <c r="C80" s="10"/>
      <c r="D80" s="11"/>
      <c r="E80" s="11"/>
      <c r="F80" s="10"/>
      <c r="G80" s="11"/>
      <c r="H80" s="11"/>
      <c r="I80" s="11"/>
      <c r="J80" s="25"/>
      <c r="K80" s="12"/>
      <c r="L80" s="11"/>
      <c r="M80" s="11"/>
      <c r="N80" s="10"/>
      <c r="O80" s="12"/>
      <c r="P80" s="12"/>
      <c r="Q80" s="12"/>
      <c r="R80" s="11"/>
      <c r="S80" s="10"/>
      <c r="T80" s="10"/>
      <c r="U80" s="11"/>
      <c r="V80" s="11"/>
      <c r="W80" s="11"/>
      <c r="X80" s="10"/>
      <c r="Y80" s="10"/>
      <c r="Z80" s="10"/>
      <c r="AA80" s="10"/>
    </row>
    <row r="81" spans="1:27" x14ac:dyDescent="0.3">
      <c r="A81" s="8"/>
      <c r="B81" s="8"/>
      <c r="C81" s="10"/>
      <c r="D81" s="11"/>
      <c r="E81" s="11"/>
      <c r="F81" s="10"/>
      <c r="G81" s="11"/>
      <c r="H81" s="11"/>
      <c r="I81" s="11"/>
      <c r="J81" s="25"/>
      <c r="K81" s="12"/>
      <c r="L81" s="11"/>
      <c r="M81" s="11"/>
      <c r="N81" s="10"/>
      <c r="O81" s="12"/>
      <c r="P81" s="12"/>
      <c r="Q81" s="12"/>
      <c r="R81" s="11"/>
      <c r="S81" s="10"/>
      <c r="T81" s="10"/>
      <c r="U81" s="11"/>
      <c r="V81" s="11"/>
      <c r="W81" s="11"/>
      <c r="X81" s="10"/>
      <c r="Y81" s="10"/>
      <c r="Z81" s="10"/>
      <c r="AA81" s="10"/>
    </row>
    <row r="82" spans="1:27" x14ac:dyDescent="0.3">
      <c r="A82" s="8"/>
      <c r="B82" s="8"/>
      <c r="C82" s="10"/>
      <c r="D82" s="11"/>
      <c r="E82" s="11"/>
      <c r="F82" s="10"/>
      <c r="G82" s="11"/>
      <c r="H82" s="11"/>
      <c r="I82" s="11"/>
      <c r="J82" s="25"/>
      <c r="K82" s="12"/>
      <c r="L82" s="10"/>
      <c r="M82" s="10"/>
      <c r="N82" s="12"/>
      <c r="O82" s="12"/>
      <c r="P82" s="12"/>
      <c r="Q82" s="12"/>
      <c r="R82" s="11"/>
      <c r="S82" s="10"/>
      <c r="T82" s="10"/>
      <c r="U82" s="11"/>
      <c r="V82" s="11"/>
      <c r="W82" s="11"/>
      <c r="X82" s="10"/>
      <c r="Y82" s="10"/>
      <c r="Z82" s="10"/>
      <c r="AA82" s="10"/>
    </row>
    <row r="83" spans="1:27" x14ac:dyDescent="0.3">
      <c r="A83" s="8"/>
      <c r="B83" s="8"/>
      <c r="C83" s="10"/>
      <c r="D83" s="11"/>
      <c r="E83" s="11"/>
      <c r="F83" s="10"/>
      <c r="G83" s="11"/>
      <c r="H83" s="11"/>
      <c r="I83" s="11"/>
      <c r="J83" s="25"/>
      <c r="K83" s="12"/>
      <c r="L83" s="10"/>
      <c r="M83" s="10"/>
      <c r="N83" s="12"/>
      <c r="O83" s="12"/>
      <c r="P83" s="12"/>
      <c r="Q83" s="12"/>
      <c r="R83" s="10"/>
      <c r="S83" s="10"/>
      <c r="T83" s="10"/>
      <c r="U83" s="11"/>
      <c r="V83" s="11"/>
      <c r="W83" s="10"/>
      <c r="X83" s="10"/>
      <c r="Y83" s="10"/>
      <c r="Z83" s="10"/>
      <c r="AA83" s="10"/>
    </row>
    <row r="84" spans="1:27" x14ac:dyDescent="0.3">
      <c r="A84" s="8"/>
      <c r="B84" s="8"/>
      <c r="C84" s="10"/>
      <c r="D84" s="11"/>
      <c r="E84" s="11"/>
      <c r="F84" s="10"/>
      <c r="G84" s="11"/>
      <c r="H84" s="11"/>
      <c r="I84" s="11"/>
      <c r="J84" s="25"/>
      <c r="K84" s="12"/>
      <c r="L84" s="10"/>
      <c r="M84" s="10"/>
      <c r="N84" s="12"/>
      <c r="O84" s="11"/>
      <c r="P84" s="11"/>
      <c r="Q84" s="12"/>
      <c r="R84" s="10"/>
      <c r="S84" s="10"/>
      <c r="T84" s="10"/>
      <c r="U84" s="11"/>
      <c r="V84" s="11"/>
      <c r="W84" s="10"/>
      <c r="X84" s="10"/>
      <c r="Y84" s="10"/>
      <c r="Z84" s="10"/>
      <c r="AA84" s="10"/>
    </row>
    <row r="85" spans="1:27" x14ac:dyDescent="0.3">
      <c r="A85" s="8"/>
      <c r="B85" s="8"/>
      <c r="C85" s="10"/>
      <c r="D85" s="11"/>
      <c r="E85" s="11"/>
      <c r="F85" s="10"/>
      <c r="G85" s="11"/>
      <c r="H85" s="11"/>
      <c r="I85" s="11"/>
      <c r="J85" s="25"/>
      <c r="K85" s="12"/>
      <c r="L85" s="10"/>
      <c r="M85" s="10"/>
      <c r="N85" s="12"/>
      <c r="O85" s="12"/>
      <c r="P85" s="12"/>
      <c r="Q85" s="12"/>
      <c r="R85" s="11"/>
      <c r="S85" s="10"/>
      <c r="T85" s="10"/>
      <c r="U85" s="11"/>
      <c r="V85" s="11"/>
      <c r="W85" s="11"/>
      <c r="X85" s="10"/>
      <c r="Y85" s="10"/>
      <c r="Z85" s="10"/>
      <c r="AA85" s="10"/>
    </row>
    <row r="86" spans="1:27" x14ac:dyDescent="0.3">
      <c r="A86" s="8"/>
      <c r="B86" s="8"/>
      <c r="C86" s="10"/>
      <c r="D86" s="11"/>
      <c r="E86" s="11"/>
      <c r="F86" s="10"/>
      <c r="G86" s="11"/>
      <c r="H86" s="11"/>
      <c r="I86" s="11"/>
      <c r="J86" s="25"/>
      <c r="K86" s="12"/>
      <c r="L86" s="15"/>
      <c r="M86" s="11"/>
      <c r="N86" s="10"/>
      <c r="O86" s="12"/>
      <c r="P86" s="12"/>
      <c r="Q86" s="12"/>
      <c r="R86" s="11"/>
      <c r="S86" s="10"/>
      <c r="T86" s="10"/>
      <c r="U86" s="11"/>
      <c r="V86" s="11"/>
      <c r="W86" s="11"/>
      <c r="X86" s="10"/>
      <c r="Y86" s="10"/>
      <c r="Z86" s="10"/>
      <c r="AA86" s="10"/>
    </row>
    <row r="87" spans="1:27" x14ac:dyDescent="0.3">
      <c r="A87" s="8"/>
      <c r="B87" s="8"/>
      <c r="C87" s="10"/>
      <c r="D87" s="11"/>
      <c r="E87" s="11"/>
      <c r="F87" s="10"/>
      <c r="G87" s="11"/>
      <c r="H87" s="11"/>
      <c r="I87" s="11"/>
      <c r="J87" s="25"/>
      <c r="K87" s="12"/>
      <c r="L87" s="10"/>
      <c r="M87" s="10"/>
      <c r="N87" s="12"/>
      <c r="O87" s="12"/>
      <c r="P87" s="12"/>
      <c r="Q87" s="12"/>
      <c r="R87" s="11"/>
      <c r="S87" s="10"/>
      <c r="T87" s="10"/>
      <c r="U87" s="11"/>
      <c r="V87" s="11"/>
      <c r="W87" s="11"/>
      <c r="X87" s="10"/>
      <c r="Y87" s="10"/>
      <c r="Z87" s="10"/>
      <c r="AA87" s="10"/>
    </row>
    <row r="88" spans="1:27" x14ac:dyDescent="0.3">
      <c r="A88" s="8"/>
      <c r="B88" s="8"/>
      <c r="C88" s="10"/>
      <c r="D88" s="11"/>
      <c r="E88" s="11"/>
      <c r="F88" s="10"/>
      <c r="G88" s="11"/>
      <c r="H88" s="11"/>
      <c r="I88" s="11"/>
      <c r="J88" s="25"/>
      <c r="K88" s="12"/>
      <c r="L88" s="10"/>
      <c r="M88" s="10"/>
      <c r="N88" s="12"/>
      <c r="O88" s="12"/>
      <c r="P88" s="12"/>
      <c r="Q88" s="12"/>
      <c r="R88" s="10"/>
      <c r="S88" s="10"/>
      <c r="T88" s="10"/>
      <c r="U88" s="11"/>
      <c r="V88" s="10"/>
      <c r="W88" s="10"/>
      <c r="X88" s="10"/>
      <c r="Y88" s="10"/>
      <c r="Z88" s="10"/>
      <c r="AA88" s="10"/>
    </row>
    <row r="89" spans="1:27" x14ac:dyDescent="0.3">
      <c r="A89" s="8"/>
      <c r="B89" s="8"/>
      <c r="C89" s="10"/>
      <c r="D89" s="10"/>
      <c r="E89" s="11"/>
      <c r="F89" s="10"/>
      <c r="G89" s="11"/>
      <c r="H89" s="11"/>
      <c r="I89" s="11"/>
      <c r="J89" s="25"/>
      <c r="K89" s="12"/>
      <c r="L89" s="10"/>
      <c r="M89" s="10"/>
      <c r="N89" s="12"/>
      <c r="O89" s="12"/>
      <c r="P89" s="12"/>
      <c r="Q89" s="12"/>
      <c r="R89" s="11"/>
      <c r="S89" s="10"/>
      <c r="T89" s="10"/>
      <c r="U89" s="11"/>
      <c r="V89" s="11"/>
      <c r="W89" s="11"/>
      <c r="X89" s="10"/>
      <c r="Y89" s="10"/>
      <c r="Z89" s="10"/>
      <c r="AA89" s="10"/>
    </row>
    <row r="90" spans="1:27" x14ac:dyDescent="0.3">
      <c r="A90" s="8"/>
      <c r="B90" s="8"/>
      <c r="C90" s="10"/>
      <c r="D90" s="10"/>
      <c r="E90" s="11"/>
      <c r="F90" s="10"/>
      <c r="G90" s="11"/>
      <c r="H90" s="11"/>
      <c r="I90" s="11"/>
      <c r="J90" s="25"/>
      <c r="K90" s="12"/>
      <c r="L90" s="10"/>
      <c r="M90" s="10"/>
      <c r="N90" s="12"/>
      <c r="O90" s="12"/>
      <c r="P90" s="12"/>
      <c r="Q90" s="12"/>
      <c r="R90" s="11"/>
      <c r="S90" s="10"/>
      <c r="T90" s="10"/>
      <c r="U90" s="11"/>
      <c r="V90" s="10"/>
      <c r="W90" s="10"/>
      <c r="X90" s="10"/>
      <c r="Y90" s="10"/>
      <c r="Z90" s="10"/>
      <c r="AA90" s="10"/>
    </row>
    <row r="91" spans="1:27" x14ac:dyDescent="0.3">
      <c r="A91" s="8"/>
      <c r="B91" s="8"/>
      <c r="C91" s="11"/>
      <c r="D91" s="11"/>
      <c r="E91" s="11"/>
      <c r="F91" s="10"/>
      <c r="G91" s="11"/>
      <c r="H91" s="11"/>
      <c r="I91" s="11"/>
      <c r="J91" s="25"/>
      <c r="K91" s="12"/>
      <c r="L91" s="10"/>
      <c r="M91" s="10"/>
      <c r="N91" s="12"/>
      <c r="O91" s="12"/>
      <c r="P91" s="12"/>
      <c r="Q91" s="12"/>
      <c r="R91" s="10"/>
      <c r="S91" s="10"/>
      <c r="T91" s="10"/>
      <c r="U91" s="11"/>
      <c r="V91" s="10"/>
      <c r="W91" s="10"/>
      <c r="X91" s="10"/>
      <c r="Y91" s="10"/>
      <c r="Z91" s="10"/>
      <c r="AA91" s="10"/>
    </row>
    <row r="92" spans="1:27" x14ac:dyDescent="0.3">
      <c r="A92" s="8"/>
      <c r="B92" s="8"/>
      <c r="C92" s="11"/>
      <c r="D92" s="11"/>
      <c r="E92" s="11"/>
      <c r="F92" s="10"/>
      <c r="G92" s="11"/>
      <c r="H92" s="11"/>
      <c r="I92" s="11"/>
      <c r="J92" s="25"/>
      <c r="K92" s="12"/>
      <c r="L92" s="15"/>
      <c r="M92" s="15"/>
      <c r="N92" s="10"/>
      <c r="O92" s="12"/>
      <c r="P92" s="12"/>
      <c r="Q92" s="12"/>
      <c r="R92" s="10"/>
      <c r="S92" s="10"/>
      <c r="T92" s="10"/>
      <c r="U92" s="11"/>
      <c r="V92" s="10"/>
      <c r="W92" s="10"/>
      <c r="X92" s="10"/>
      <c r="Y92" s="10"/>
      <c r="Z92" s="10"/>
      <c r="AA92" s="10"/>
    </row>
    <row r="93" spans="1:27" x14ac:dyDescent="0.3">
      <c r="A93" s="8"/>
      <c r="B93" s="8"/>
      <c r="C93" s="11"/>
      <c r="D93" s="11"/>
      <c r="E93" s="11"/>
      <c r="F93" s="10"/>
      <c r="G93" s="11"/>
      <c r="H93" s="11"/>
      <c r="I93" s="11"/>
      <c r="J93" s="25"/>
      <c r="K93" s="12"/>
      <c r="L93" s="15"/>
      <c r="M93" s="11"/>
      <c r="N93" s="10"/>
      <c r="O93" s="12"/>
      <c r="P93" s="12"/>
      <c r="Q93" s="12"/>
      <c r="R93" s="10"/>
      <c r="S93" s="10"/>
      <c r="T93" s="10"/>
      <c r="U93" s="11"/>
      <c r="V93" s="10"/>
      <c r="W93" s="10"/>
      <c r="X93" s="10"/>
      <c r="Y93" s="10"/>
      <c r="Z93" s="10"/>
      <c r="AA93" s="10"/>
    </row>
    <row r="94" spans="1:27" x14ac:dyDescent="0.3">
      <c r="A94" s="8"/>
      <c r="B94" s="8"/>
      <c r="C94" s="10"/>
      <c r="D94" s="11"/>
      <c r="E94" s="11"/>
      <c r="F94" s="10"/>
      <c r="G94" s="11"/>
      <c r="H94" s="11"/>
      <c r="I94" s="11"/>
      <c r="J94" s="25"/>
      <c r="K94" s="12"/>
      <c r="L94" s="10"/>
      <c r="M94" s="10"/>
      <c r="N94" s="12"/>
      <c r="O94" s="12"/>
      <c r="P94" s="12"/>
      <c r="Q94" s="12"/>
      <c r="R94" s="11"/>
      <c r="S94" s="10"/>
      <c r="T94" s="10"/>
      <c r="U94" s="11"/>
      <c r="V94" s="10"/>
      <c r="W94" s="10"/>
      <c r="X94" s="10"/>
      <c r="Y94" s="10"/>
      <c r="Z94" s="10"/>
      <c r="AA94" s="10"/>
    </row>
    <row r="95" spans="1:27" x14ac:dyDescent="0.3">
      <c r="A95" s="8"/>
      <c r="B95" s="8"/>
      <c r="C95" s="10"/>
      <c r="D95" s="11"/>
      <c r="E95" s="11"/>
      <c r="F95" s="10"/>
      <c r="G95" s="11"/>
      <c r="H95" s="11"/>
      <c r="I95" s="11"/>
      <c r="J95" s="25"/>
      <c r="K95" s="12"/>
      <c r="L95" s="10"/>
      <c r="M95" s="10"/>
      <c r="N95" s="12"/>
      <c r="O95" s="12"/>
      <c r="P95" s="12"/>
      <c r="Q95" s="12"/>
      <c r="R95" s="11"/>
      <c r="S95" s="10"/>
      <c r="T95" s="10"/>
      <c r="U95" s="11"/>
      <c r="V95" s="11"/>
      <c r="W95" s="11"/>
      <c r="X95" s="10"/>
      <c r="Y95" s="10"/>
      <c r="Z95" s="10"/>
      <c r="AA95" s="10"/>
    </row>
    <row r="96" spans="1:27" x14ac:dyDescent="0.3">
      <c r="A96" s="8"/>
      <c r="B96" s="8"/>
      <c r="C96" s="10"/>
      <c r="D96" s="11"/>
      <c r="E96" s="11"/>
      <c r="F96" s="10"/>
      <c r="G96" s="11"/>
      <c r="H96" s="11"/>
      <c r="I96" s="11"/>
      <c r="J96" s="25"/>
      <c r="K96" s="12"/>
      <c r="L96" s="10"/>
      <c r="M96" s="10"/>
      <c r="N96" s="12"/>
      <c r="O96" s="12"/>
      <c r="P96" s="12"/>
      <c r="Q96" s="12"/>
      <c r="R96" s="11"/>
      <c r="S96" s="10"/>
      <c r="T96" s="10"/>
      <c r="U96" s="11"/>
      <c r="V96" s="11"/>
      <c r="W96" s="11"/>
      <c r="X96" s="10"/>
      <c r="Y96" s="10"/>
      <c r="Z96" s="10"/>
      <c r="AA96" s="10"/>
    </row>
    <row r="97" spans="1:27" x14ac:dyDescent="0.3">
      <c r="A97" s="8"/>
      <c r="B97" s="8"/>
      <c r="C97" s="10"/>
      <c r="D97" s="11"/>
      <c r="E97" s="11"/>
      <c r="F97" s="10"/>
      <c r="G97" s="11"/>
      <c r="H97" s="11"/>
      <c r="I97" s="11"/>
      <c r="J97" s="25"/>
      <c r="K97" s="12"/>
      <c r="L97" s="10"/>
      <c r="M97" s="10"/>
      <c r="N97" s="12"/>
      <c r="O97" s="12"/>
      <c r="P97" s="12"/>
      <c r="Q97" s="12"/>
      <c r="R97" s="11"/>
      <c r="S97" s="10"/>
      <c r="T97" s="10"/>
      <c r="U97" s="11"/>
      <c r="V97" s="11"/>
      <c r="W97" s="11"/>
      <c r="X97" s="10"/>
      <c r="Y97" s="10"/>
      <c r="Z97" s="10"/>
      <c r="AA97" s="10"/>
    </row>
    <row r="98" spans="1:27" x14ac:dyDescent="0.3">
      <c r="A98" s="8"/>
      <c r="B98" s="8"/>
      <c r="C98" s="10"/>
      <c r="D98" s="11"/>
      <c r="E98" s="11"/>
      <c r="F98" s="10"/>
      <c r="G98" s="11"/>
      <c r="H98" s="11"/>
      <c r="I98" s="11"/>
      <c r="J98" s="25"/>
      <c r="K98" s="12"/>
      <c r="L98" s="10"/>
      <c r="M98" s="10"/>
      <c r="N98" s="12"/>
      <c r="O98" s="12"/>
      <c r="P98" s="12"/>
      <c r="Q98" s="12"/>
      <c r="R98" s="11"/>
      <c r="S98" s="10"/>
      <c r="T98" s="10"/>
      <c r="U98" s="11"/>
      <c r="V98" s="10"/>
      <c r="W98" s="10"/>
      <c r="X98" s="10"/>
      <c r="Y98" s="10"/>
      <c r="Z98" s="10"/>
      <c r="AA98" s="10"/>
    </row>
    <row r="99" spans="1:27" x14ac:dyDescent="0.3">
      <c r="A99" s="8"/>
      <c r="B99" s="8"/>
      <c r="C99" s="10"/>
      <c r="D99" s="11"/>
      <c r="E99" s="11"/>
      <c r="F99" s="10"/>
      <c r="G99" s="11"/>
      <c r="H99" s="11"/>
      <c r="I99" s="11"/>
      <c r="J99" s="25"/>
      <c r="K99" s="12"/>
      <c r="L99" s="10"/>
      <c r="M99" s="10"/>
      <c r="N99" s="12"/>
      <c r="O99" s="12"/>
      <c r="P99" s="12"/>
      <c r="Q99" s="12"/>
      <c r="R99" s="10"/>
      <c r="S99" s="10"/>
      <c r="T99" s="10"/>
      <c r="U99" s="11"/>
      <c r="V99" s="10"/>
      <c r="W99" s="10"/>
      <c r="X99" s="10"/>
      <c r="Y99" s="10"/>
      <c r="Z99" s="10"/>
      <c r="AA99" s="10"/>
    </row>
    <row r="100" spans="1:27" x14ac:dyDescent="0.3">
      <c r="A100" s="8"/>
      <c r="B100" s="8"/>
      <c r="C100" s="10"/>
      <c r="D100" s="11"/>
      <c r="E100" s="11"/>
      <c r="F100" s="10"/>
      <c r="G100" s="11"/>
      <c r="H100" s="11"/>
      <c r="I100" s="11"/>
      <c r="J100" s="25"/>
      <c r="K100" s="12"/>
      <c r="L100" s="10"/>
      <c r="M100" s="10"/>
      <c r="N100" s="12"/>
      <c r="O100" s="12"/>
      <c r="P100" s="12"/>
      <c r="Q100" s="12"/>
      <c r="R100" s="11"/>
      <c r="S100" s="10"/>
      <c r="T100" s="10"/>
      <c r="U100" s="11"/>
      <c r="V100" s="11"/>
      <c r="W100" s="11"/>
      <c r="X100" s="10"/>
      <c r="Y100" s="10"/>
      <c r="Z100" s="10"/>
      <c r="AA100" s="10"/>
    </row>
    <row r="101" spans="1:27" x14ac:dyDescent="0.3">
      <c r="A101" s="8"/>
      <c r="B101" s="8"/>
      <c r="C101" s="10"/>
      <c r="D101" s="11"/>
      <c r="E101" s="11"/>
      <c r="F101" s="10"/>
      <c r="G101" s="11"/>
      <c r="H101" s="11"/>
      <c r="I101" s="11"/>
      <c r="J101" s="25"/>
      <c r="K101" s="12"/>
      <c r="L101" s="10"/>
      <c r="M101" s="10"/>
      <c r="N101" s="12"/>
      <c r="O101" s="12"/>
      <c r="P101" s="12"/>
      <c r="Q101" s="12"/>
      <c r="R101" s="11"/>
      <c r="S101" s="10"/>
      <c r="T101" s="10"/>
      <c r="U101" s="11"/>
      <c r="V101" s="11"/>
      <c r="W101" s="11"/>
      <c r="X101" s="10"/>
      <c r="Y101" s="10"/>
      <c r="Z101" s="10"/>
      <c r="AA101" s="10"/>
    </row>
    <row r="102" spans="1:27" x14ac:dyDescent="0.3">
      <c r="A102" s="8"/>
      <c r="B102" s="8"/>
      <c r="C102" s="10"/>
      <c r="D102" s="11"/>
      <c r="E102" s="11"/>
      <c r="F102" s="10"/>
      <c r="G102" s="11"/>
      <c r="H102" s="11"/>
      <c r="I102" s="11"/>
      <c r="J102" s="25"/>
      <c r="K102" s="12"/>
      <c r="L102" s="10"/>
      <c r="M102" s="10"/>
      <c r="N102" s="12"/>
      <c r="O102" s="12"/>
      <c r="P102" s="12"/>
      <c r="Q102" s="12"/>
      <c r="R102" s="11"/>
      <c r="S102" s="10"/>
      <c r="T102" s="10"/>
      <c r="U102" s="11"/>
      <c r="V102" s="11"/>
      <c r="W102" s="11"/>
      <c r="X102" s="10"/>
      <c r="Y102" s="10"/>
      <c r="Z102" s="10"/>
      <c r="AA102" s="10"/>
    </row>
    <row r="103" spans="1:27" x14ac:dyDescent="0.3">
      <c r="A103" s="8"/>
      <c r="B103" s="8"/>
      <c r="C103" s="10"/>
      <c r="D103" s="11"/>
      <c r="E103" s="11"/>
      <c r="F103" s="10"/>
      <c r="G103" s="11"/>
      <c r="H103" s="11"/>
      <c r="I103" s="11"/>
      <c r="J103" s="25"/>
      <c r="K103" s="12"/>
      <c r="L103" s="11"/>
      <c r="M103" s="11"/>
      <c r="N103" s="10"/>
      <c r="O103" s="12"/>
      <c r="P103" s="12"/>
      <c r="Q103" s="12"/>
      <c r="R103" s="11"/>
      <c r="S103" s="10"/>
      <c r="T103" s="10"/>
      <c r="U103" s="11"/>
      <c r="V103" s="11"/>
      <c r="W103" s="11"/>
      <c r="X103" s="10"/>
      <c r="Y103" s="10"/>
      <c r="Z103" s="10"/>
      <c r="AA103" s="10"/>
    </row>
    <row r="104" spans="1:27" x14ac:dyDescent="0.3">
      <c r="A104" s="8"/>
      <c r="B104" s="8"/>
      <c r="C104" s="10"/>
      <c r="D104" s="11"/>
      <c r="E104" s="11"/>
      <c r="F104" s="10"/>
      <c r="G104" s="11"/>
      <c r="H104" s="11"/>
      <c r="I104" s="11"/>
      <c r="J104" s="25"/>
      <c r="K104" s="12"/>
      <c r="L104" s="10"/>
      <c r="M104" s="10"/>
      <c r="N104" s="12"/>
      <c r="O104" s="12"/>
      <c r="P104" s="12"/>
      <c r="Q104" s="12"/>
      <c r="R104" s="10"/>
      <c r="S104" s="10"/>
      <c r="T104" s="10"/>
      <c r="U104" s="11"/>
      <c r="V104" s="11"/>
      <c r="W104" s="11"/>
      <c r="X104" s="10"/>
      <c r="Y104" s="10"/>
      <c r="Z104" s="10"/>
      <c r="AA104" s="10"/>
    </row>
    <row r="105" spans="1:27" x14ac:dyDescent="0.3">
      <c r="A105" s="8"/>
      <c r="B105" s="8"/>
      <c r="C105" s="10"/>
      <c r="D105" s="11"/>
      <c r="E105" s="11"/>
      <c r="F105" s="10"/>
      <c r="G105" s="11"/>
      <c r="H105" s="11"/>
      <c r="I105" s="11"/>
      <c r="J105" s="25"/>
      <c r="K105" s="12"/>
      <c r="L105" s="10"/>
      <c r="M105" s="10"/>
      <c r="N105" s="12"/>
      <c r="O105" s="11"/>
      <c r="P105" s="11"/>
      <c r="Q105" s="12"/>
      <c r="R105" s="10"/>
      <c r="S105" s="10"/>
      <c r="T105" s="10"/>
      <c r="U105" s="11"/>
      <c r="V105" s="11"/>
      <c r="W105" s="11"/>
      <c r="X105" s="10"/>
      <c r="Y105" s="10"/>
      <c r="Z105" s="10"/>
      <c r="AA105" s="10"/>
    </row>
    <row r="106" spans="1:27" x14ac:dyDescent="0.3">
      <c r="A106" s="8"/>
      <c r="B106" s="8"/>
      <c r="C106" s="10"/>
      <c r="D106" s="11"/>
      <c r="E106" s="11"/>
      <c r="F106" s="10"/>
      <c r="G106" s="11"/>
      <c r="H106" s="11"/>
      <c r="I106" s="11"/>
      <c r="J106" s="25"/>
      <c r="K106" s="12"/>
      <c r="L106" s="11"/>
      <c r="M106" s="11"/>
      <c r="N106" s="12"/>
      <c r="O106" s="12"/>
      <c r="P106" s="12"/>
      <c r="Q106" s="12"/>
      <c r="R106" s="11"/>
      <c r="S106" s="10"/>
      <c r="T106" s="10"/>
      <c r="U106" s="11"/>
      <c r="V106" s="10"/>
      <c r="W106" s="10"/>
      <c r="X106" s="10"/>
      <c r="Y106" s="10"/>
      <c r="Z106" s="10"/>
      <c r="AA106" s="10"/>
    </row>
    <row r="107" spans="1:27" x14ac:dyDescent="0.3">
      <c r="A107" s="8"/>
      <c r="B107" s="8"/>
      <c r="C107" s="10"/>
      <c r="D107" s="11"/>
      <c r="E107" s="11"/>
      <c r="F107" s="10"/>
      <c r="G107" s="11"/>
      <c r="H107" s="11"/>
      <c r="I107" s="11"/>
      <c r="J107" s="25"/>
      <c r="K107" s="12"/>
      <c r="L107" s="11"/>
      <c r="M107" s="11"/>
      <c r="N107" s="10"/>
      <c r="O107" s="12"/>
      <c r="P107" s="12"/>
      <c r="Q107" s="12"/>
      <c r="R107" s="11"/>
      <c r="S107" s="10"/>
      <c r="T107" s="10"/>
      <c r="U107" s="11"/>
      <c r="V107" s="11"/>
      <c r="W107" s="11"/>
      <c r="X107" s="10"/>
      <c r="Y107" s="10"/>
      <c r="Z107" s="10"/>
      <c r="AA107" s="10"/>
    </row>
    <row r="108" spans="1:27" x14ac:dyDescent="0.3">
      <c r="A108" s="8"/>
      <c r="B108" s="8"/>
      <c r="C108" s="10"/>
      <c r="D108" s="11"/>
      <c r="E108" s="11"/>
      <c r="F108" s="10"/>
      <c r="G108" s="11"/>
      <c r="H108" s="11"/>
      <c r="I108" s="11"/>
      <c r="J108" s="25"/>
      <c r="K108" s="12"/>
      <c r="L108" s="10"/>
      <c r="M108" s="10"/>
      <c r="N108" s="12"/>
      <c r="O108" s="12"/>
      <c r="P108" s="12"/>
      <c r="Q108" s="12"/>
      <c r="R108" s="10"/>
      <c r="S108" s="10"/>
      <c r="T108" s="10"/>
      <c r="U108" s="11"/>
      <c r="V108" s="10"/>
      <c r="W108" s="10"/>
      <c r="X108" s="10"/>
      <c r="Y108" s="10"/>
      <c r="Z108" s="10"/>
      <c r="AA108" s="10"/>
    </row>
    <row r="109" spans="1:27" x14ac:dyDescent="0.3">
      <c r="A109" s="8"/>
      <c r="B109" s="8"/>
      <c r="C109" s="10"/>
      <c r="D109" s="10"/>
      <c r="E109" s="11"/>
      <c r="F109" s="10"/>
      <c r="G109" s="11"/>
      <c r="H109" s="11"/>
      <c r="I109" s="11"/>
      <c r="J109" s="25"/>
      <c r="K109" s="12"/>
      <c r="L109" s="10"/>
      <c r="M109" s="10"/>
      <c r="N109" s="12"/>
      <c r="O109" s="12"/>
      <c r="P109" s="12"/>
      <c r="Q109" s="12"/>
      <c r="R109" s="11"/>
      <c r="S109" s="10"/>
      <c r="T109" s="11"/>
      <c r="U109" s="10"/>
      <c r="V109" s="11"/>
      <c r="W109" s="11"/>
      <c r="X109" s="10"/>
      <c r="Y109" s="10"/>
      <c r="Z109" s="10"/>
      <c r="AA109" s="10"/>
    </row>
    <row r="110" spans="1:27" x14ac:dyDescent="0.3">
      <c r="A110" s="8"/>
      <c r="B110" s="8"/>
      <c r="C110" s="10"/>
      <c r="D110" s="11"/>
      <c r="E110" s="11"/>
      <c r="F110" s="10"/>
      <c r="G110" s="11"/>
      <c r="H110" s="11"/>
      <c r="I110" s="11"/>
      <c r="J110" s="25"/>
      <c r="K110" s="12"/>
      <c r="L110" s="10"/>
      <c r="M110" s="10"/>
      <c r="N110" s="12"/>
      <c r="O110" s="12"/>
      <c r="P110" s="12"/>
      <c r="Q110" s="12"/>
      <c r="R110" s="11"/>
      <c r="S110" s="10"/>
      <c r="T110" s="10"/>
      <c r="U110" s="11"/>
      <c r="V110" s="11"/>
      <c r="W110" s="11"/>
      <c r="X110" s="10"/>
      <c r="Y110" s="10"/>
      <c r="Z110" s="10"/>
      <c r="AA110" s="10"/>
    </row>
    <row r="111" spans="1:27" x14ac:dyDescent="0.3">
      <c r="A111" s="8"/>
      <c r="B111" s="8"/>
      <c r="C111" s="10"/>
      <c r="D111" s="11"/>
      <c r="E111" s="11"/>
      <c r="F111" s="10"/>
      <c r="G111" s="11"/>
      <c r="H111" s="11"/>
      <c r="I111" s="11"/>
      <c r="J111" s="25"/>
      <c r="K111" s="12"/>
      <c r="L111" s="11"/>
      <c r="M111" s="11"/>
      <c r="N111" s="10"/>
      <c r="O111" s="12"/>
      <c r="P111" s="12"/>
      <c r="Q111" s="12"/>
      <c r="R111" s="11"/>
      <c r="S111" s="10"/>
      <c r="T111" s="10"/>
      <c r="U111" s="11"/>
      <c r="V111" s="11"/>
      <c r="W111" s="11"/>
      <c r="X111" s="10"/>
      <c r="Y111" s="10"/>
      <c r="Z111" s="10"/>
      <c r="AA111" s="10"/>
    </row>
    <row r="112" spans="1:27" x14ac:dyDescent="0.3">
      <c r="A112" s="8"/>
      <c r="B112" s="8"/>
      <c r="C112" s="10"/>
      <c r="D112" s="11"/>
      <c r="E112" s="11"/>
      <c r="F112" s="10"/>
      <c r="G112" s="11"/>
      <c r="H112" s="11"/>
      <c r="I112" s="11"/>
      <c r="J112" s="25"/>
      <c r="K112" s="12"/>
      <c r="L112" s="11"/>
      <c r="M112" s="11"/>
      <c r="N112" s="10"/>
      <c r="O112" s="12"/>
      <c r="P112" s="12"/>
      <c r="Q112" s="12"/>
      <c r="R112" s="11"/>
      <c r="S112" s="10"/>
      <c r="T112" s="10"/>
      <c r="U112" s="11"/>
      <c r="V112" s="11"/>
      <c r="W112" s="11"/>
      <c r="X112" s="10"/>
      <c r="Y112" s="10"/>
      <c r="Z112" s="10"/>
      <c r="AA112" s="10"/>
    </row>
    <row r="113" spans="1:27" x14ac:dyDescent="0.3">
      <c r="A113" s="8"/>
      <c r="B113" s="8"/>
      <c r="C113" s="10"/>
      <c r="D113" s="11"/>
      <c r="E113" s="11"/>
      <c r="F113" s="10"/>
      <c r="G113" s="11"/>
      <c r="H113" s="11"/>
      <c r="I113" s="11"/>
      <c r="J113" s="25"/>
      <c r="K113" s="12"/>
      <c r="L113" s="10"/>
      <c r="M113" s="10"/>
      <c r="N113" s="12"/>
      <c r="O113" s="12"/>
      <c r="P113" s="12"/>
      <c r="Q113" s="12"/>
      <c r="R113" s="11"/>
      <c r="S113" s="10"/>
      <c r="T113" s="10"/>
      <c r="U113" s="11"/>
      <c r="V113" s="11"/>
      <c r="W113" s="11"/>
      <c r="X113" s="10"/>
      <c r="Y113" s="10"/>
      <c r="Z113" s="10"/>
      <c r="AA113" s="10"/>
    </row>
    <row r="114" spans="1:27" x14ac:dyDescent="0.3">
      <c r="A114" s="8"/>
      <c r="B114" s="8"/>
      <c r="C114" s="10"/>
      <c r="D114" s="11"/>
      <c r="E114" s="11"/>
      <c r="F114" s="10"/>
      <c r="G114" s="11"/>
      <c r="H114" s="11"/>
      <c r="I114" s="11"/>
      <c r="J114" s="25"/>
      <c r="K114" s="12"/>
      <c r="L114" s="10"/>
      <c r="M114" s="10"/>
      <c r="N114" s="12"/>
      <c r="O114" s="12"/>
      <c r="P114" s="12"/>
      <c r="Q114" s="12"/>
      <c r="R114" s="11"/>
      <c r="S114" s="10"/>
      <c r="T114" s="10"/>
      <c r="U114" s="11"/>
      <c r="V114" s="11"/>
      <c r="W114" s="11"/>
      <c r="X114" s="10"/>
      <c r="Y114" s="10"/>
      <c r="Z114" s="10"/>
      <c r="AA114" s="10"/>
    </row>
    <row r="115" spans="1:27" x14ac:dyDescent="0.3">
      <c r="A115" s="8"/>
      <c r="B115" s="8"/>
      <c r="C115" s="10"/>
      <c r="D115" s="11"/>
      <c r="E115" s="11"/>
      <c r="F115" s="10"/>
      <c r="G115" s="11"/>
      <c r="H115" s="11"/>
      <c r="I115" s="11"/>
      <c r="J115" s="25"/>
      <c r="K115" s="12"/>
      <c r="L115" s="10"/>
      <c r="M115" s="10"/>
      <c r="N115" s="12"/>
      <c r="O115" s="12"/>
      <c r="P115" s="12"/>
      <c r="Q115" s="12"/>
      <c r="R115" s="11"/>
      <c r="S115" s="10"/>
      <c r="T115" s="10"/>
      <c r="U115" s="11"/>
      <c r="V115" s="11"/>
      <c r="W115" s="11"/>
      <c r="X115" s="10"/>
      <c r="Y115" s="10"/>
      <c r="Z115" s="10"/>
      <c r="AA115" s="10"/>
    </row>
    <row r="116" spans="1:27" x14ac:dyDescent="0.3">
      <c r="A116" s="8"/>
      <c r="B116" s="8"/>
      <c r="C116" s="10"/>
      <c r="D116" s="11"/>
      <c r="E116" s="11"/>
      <c r="F116" s="10"/>
      <c r="G116" s="11"/>
      <c r="H116" s="11"/>
      <c r="I116" s="11"/>
      <c r="J116" s="25"/>
      <c r="K116" s="12"/>
      <c r="L116" s="10"/>
      <c r="M116" s="10"/>
      <c r="N116" s="12"/>
      <c r="O116" s="12"/>
      <c r="P116" s="12"/>
      <c r="Q116" s="12"/>
      <c r="R116" s="11"/>
      <c r="S116" s="10"/>
      <c r="T116" s="10"/>
      <c r="U116" s="11"/>
      <c r="V116" s="11"/>
      <c r="W116" s="11"/>
      <c r="X116" s="10"/>
      <c r="Y116" s="10"/>
      <c r="Z116" s="10"/>
      <c r="AA116" s="10"/>
    </row>
    <row r="117" spans="1:27" x14ac:dyDescent="0.3">
      <c r="A117" s="8"/>
      <c r="B117" s="8"/>
      <c r="C117" s="10"/>
      <c r="D117" s="11"/>
      <c r="E117" s="11"/>
      <c r="F117" s="10"/>
      <c r="G117" s="11"/>
      <c r="H117" s="11"/>
      <c r="I117" s="11"/>
      <c r="J117" s="25"/>
      <c r="K117" s="12"/>
      <c r="L117" s="10"/>
      <c r="M117" s="10"/>
      <c r="N117" s="12"/>
      <c r="O117" s="12"/>
      <c r="P117" s="12"/>
      <c r="Q117" s="12"/>
      <c r="R117" s="11"/>
      <c r="S117" s="10"/>
      <c r="T117" s="10"/>
      <c r="U117" s="11"/>
      <c r="V117" s="11"/>
      <c r="W117" s="11"/>
      <c r="X117" s="10"/>
      <c r="Y117" s="10"/>
      <c r="Z117" s="10"/>
      <c r="AA117" s="10"/>
    </row>
    <row r="118" spans="1:27" x14ac:dyDescent="0.3">
      <c r="A118" s="8"/>
      <c r="B118" s="8"/>
      <c r="C118" s="10"/>
      <c r="D118" s="11"/>
      <c r="E118" s="11"/>
      <c r="F118" s="10"/>
      <c r="G118" s="11"/>
      <c r="H118" s="11"/>
      <c r="I118" s="11"/>
      <c r="J118" s="25"/>
      <c r="K118" s="12"/>
      <c r="L118" s="10"/>
      <c r="M118" s="10"/>
      <c r="N118" s="12"/>
      <c r="O118" s="12"/>
      <c r="P118" s="12"/>
      <c r="Q118" s="12"/>
      <c r="R118" s="11"/>
      <c r="S118" s="10"/>
      <c r="T118" s="10"/>
      <c r="U118" s="11"/>
      <c r="V118" s="11"/>
      <c r="W118" s="11"/>
      <c r="X118" s="10"/>
      <c r="Y118" s="10"/>
      <c r="Z118" s="10"/>
      <c r="AA118" s="10"/>
    </row>
    <row r="119" spans="1:27" x14ac:dyDescent="0.3">
      <c r="A119" s="8"/>
      <c r="B119" s="8"/>
      <c r="C119" s="10"/>
      <c r="D119" s="11"/>
      <c r="E119" s="11"/>
      <c r="F119" s="10"/>
      <c r="G119" s="11"/>
      <c r="H119" s="11"/>
      <c r="I119" s="11"/>
      <c r="J119" s="25"/>
      <c r="K119" s="12"/>
      <c r="L119" s="10"/>
      <c r="M119" s="10"/>
      <c r="N119" s="12"/>
      <c r="O119" s="12"/>
      <c r="P119" s="12"/>
      <c r="Q119" s="12"/>
      <c r="R119" s="11"/>
      <c r="S119" s="10"/>
      <c r="T119" s="10"/>
      <c r="U119" s="11"/>
      <c r="V119" s="11"/>
      <c r="W119" s="11"/>
      <c r="X119" s="10"/>
      <c r="Y119" s="10"/>
      <c r="Z119" s="10"/>
      <c r="AA119" s="10"/>
    </row>
    <row r="120" spans="1:27" x14ac:dyDescent="0.3">
      <c r="A120" s="8"/>
      <c r="B120" s="8"/>
      <c r="C120" s="10"/>
      <c r="D120" s="11"/>
      <c r="E120" s="11"/>
      <c r="F120" s="10"/>
      <c r="G120" s="11"/>
      <c r="H120" s="11"/>
      <c r="I120" s="11"/>
      <c r="J120" s="25"/>
      <c r="K120" s="12"/>
      <c r="L120" s="11"/>
      <c r="M120" s="11"/>
      <c r="N120" s="10"/>
      <c r="O120" s="12"/>
      <c r="P120" s="12"/>
      <c r="Q120" s="12"/>
      <c r="R120" s="11"/>
      <c r="S120" s="10"/>
      <c r="T120" s="10"/>
      <c r="U120" s="11"/>
      <c r="V120" s="11"/>
      <c r="W120" s="11"/>
      <c r="X120" s="10"/>
      <c r="Y120" s="10"/>
      <c r="Z120" s="10"/>
      <c r="AA120" s="10"/>
    </row>
    <row r="121" spans="1:27" x14ac:dyDescent="0.3">
      <c r="A121" s="8"/>
      <c r="B121" s="8"/>
      <c r="C121" s="10"/>
      <c r="D121" s="11"/>
      <c r="E121" s="11"/>
      <c r="F121" s="10"/>
      <c r="G121" s="11"/>
      <c r="H121" s="11"/>
      <c r="I121" s="11"/>
      <c r="J121" s="25"/>
      <c r="K121" s="12"/>
      <c r="L121" s="10"/>
      <c r="M121" s="10"/>
      <c r="N121" s="12"/>
      <c r="O121" s="12"/>
      <c r="P121" s="12"/>
      <c r="Q121" s="12"/>
      <c r="R121" s="11"/>
      <c r="S121" s="10"/>
      <c r="T121" s="10"/>
      <c r="U121" s="11"/>
      <c r="V121" s="11"/>
      <c r="W121" s="11"/>
      <c r="X121" s="10"/>
      <c r="Y121" s="10"/>
      <c r="Z121" s="10"/>
      <c r="AA121" s="10"/>
    </row>
    <row r="122" spans="1:27" x14ac:dyDescent="0.3">
      <c r="A122" s="8"/>
      <c r="B122" s="8"/>
      <c r="C122" s="10"/>
      <c r="D122" s="11"/>
      <c r="E122" s="11"/>
      <c r="F122" s="10"/>
      <c r="G122" s="11"/>
      <c r="H122" s="11"/>
      <c r="I122" s="11"/>
      <c r="J122" s="25"/>
      <c r="K122" s="12"/>
      <c r="L122" s="10"/>
      <c r="M122" s="10"/>
      <c r="N122" s="12"/>
      <c r="O122" s="12"/>
      <c r="P122" s="12"/>
      <c r="Q122" s="12"/>
      <c r="R122" s="11"/>
      <c r="S122" s="10"/>
      <c r="T122" s="10"/>
      <c r="U122" s="11"/>
      <c r="V122" s="11"/>
      <c r="W122" s="11"/>
      <c r="X122" s="11"/>
      <c r="Y122" s="10"/>
      <c r="Z122" s="10"/>
      <c r="AA122" s="10"/>
    </row>
    <row r="123" spans="1:27" x14ac:dyDescent="0.3">
      <c r="A123" s="8"/>
      <c r="B123" s="8"/>
      <c r="C123" s="10"/>
      <c r="D123" s="11"/>
      <c r="E123" s="11"/>
      <c r="F123" s="10"/>
      <c r="G123" s="11"/>
      <c r="H123" s="11"/>
      <c r="I123" s="11"/>
      <c r="J123" s="25"/>
      <c r="K123" s="12"/>
      <c r="L123" s="10"/>
      <c r="M123" s="10"/>
      <c r="N123" s="12"/>
      <c r="O123" s="12"/>
      <c r="P123" s="12"/>
      <c r="Q123" s="12"/>
      <c r="R123" s="11"/>
      <c r="S123" s="10"/>
      <c r="T123" s="10"/>
      <c r="U123" s="11"/>
      <c r="V123" s="11"/>
      <c r="W123" s="11"/>
      <c r="X123" s="10"/>
      <c r="Y123" s="10"/>
      <c r="Z123" s="10"/>
      <c r="AA123" s="10"/>
    </row>
    <row r="124" spans="1:27" x14ac:dyDescent="0.3">
      <c r="A124" s="8"/>
      <c r="B124" s="8"/>
      <c r="C124" s="10"/>
      <c r="D124" s="11"/>
      <c r="E124" s="11"/>
      <c r="F124" s="10"/>
      <c r="G124" s="11"/>
      <c r="H124" s="11"/>
      <c r="I124" s="11"/>
      <c r="J124" s="25"/>
      <c r="K124" s="12"/>
      <c r="L124" s="10"/>
      <c r="M124" s="10"/>
      <c r="N124" s="12"/>
      <c r="O124" s="12"/>
      <c r="P124" s="12"/>
      <c r="Q124" s="12"/>
      <c r="R124" s="11"/>
      <c r="S124" s="10"/>
      <c r="T124" s="10"/>
      <c r="U124" s="11"/>
      <c r="V124" s="11"/>
      <c r="W124" s="11"/>
      <c r="X124" s="10"/>
      <c r="Y124" s="10"/>
      <c r="Z124" s="10"/>
      <c r="AA124" s="10"/>
    </row>
    <row r="125" spans="1:27" x14ac:dyDescent="0.3">
      <c r="A125" s="8"/>
      <c r="B125" s="8"/>
      <c r="C125" s="10"/>
      <c r="D125" s="11"/>
      <c r="E125" s="11"/>
      <c r="F125" s="10"/>
      <c r="G125" s="11"/>
      <c r="H125" s="11"/>
      <c r="I125" s="11"/>
      <c r="J125" s="25"/>
      <c r="K125" s="12"/>
      <c r="L125" s="15"/>
      <c r="M125" s="15"/>
      <c r="N125" s="11"/>
      <c r="O125" s="12"/>
      <c r="P125" s="12"/>
      <c r="Q125" s="12"/>
      <c r="R125" s="11"/>
      <c r="S125" s="10"/>
      <c r="T125" s="10"/>
      <c r="U125" s="11"/>
      <c r="V125" s="10"/>
      <c r="W125" s="10"/>
      <c r="X125" s="10"/>
      <c r="Y125" s="10"/>
      <c r="Z125" s="10"/>
      <c r="AA125" s="10"/>
    </row>
    <row r="126" spans="1:27" x14ac:dyDescent="0.3">
      <c r="A126" s="8"/>
      <c r="B126" s="8"/>
      <c r="C126" s="10"/>
      <c r="D126" s="11"/>
      <c r="E126" s="11"/>
      <c r="F126" s="10"/>
      <c r="G126" s="11"/>
      <c r="H126" s="11"/>
      <c r="I126" s="11"/>
      <c r="J126" s="25"/>
      <c r="K126" s="12"/>
      <c r="L126" s="10"/>
      <c r="M126" s="10"/>
      <c r="N126" s="12"/>
      <c r="O126" s="11"/>
      <c r="P126" s="11"/>
      <c r="Q126" s="12"/>
      <c r="R126" s="11"/>
      <c r="S126" s="10"/>
      <c r="T126" s="10"/>
      <c r="U126" s="11"/>
      <c r="V126" s="10"/>
      <c r="W126" s="10"/>
      <c r="X126" s="10"/>
      <c r="Y126" s="10"/>
      <c r="Z126" s="10"/>
      <c r="AA126" s="10"/>
    </row>
    <row r="127" spans="1:27" x14ac:dyDescent="0.3">
      <c r="A127" s="8"/>
      <c r="B127" s="8"/>
      <c r="C127" s="10"/>
      <c r="D127" s="11"/>
      <c r="E127" s="11"/>
      <c r="F127" s="10"/>
      <c r="G127" s="11"/>
      <c r="H127" s="11"/>
      <c r="I127" s="11"/>
      <c r="J127" s="25"/>
      <c r="K127" s="12"/>
      <c r="L127" s="15"/>
      <c r="M127" s="15"/>
      <c r="N127" s="10"/>
      <c r="O127" s="12"/>
      <c r="P127" s="12"/>
      <c r="Q127" s="12"/>
      <c r="R127" s="11"/>
      <c r="S127" s="10"/>
      <c r="T127" s="10"/>
      <c r="U127" s="11"/>
      <c r="V127" s="11"/>
      <c r="W127" s="11"/>
      <c r="X127" s="10"/>
      <c r="Y127" s="10"/>
      <c r="Z127" s="10"/>
      <c r="AA127" s="10"/>
    </row>
    <row r="128" spans="1:27" x14ac:dyDescent="0.3">
      <c r="A128" s="8"/>
      <c r="B128" s="8"/>
      <c r="C128" s="10"/>
      <c r="D128" s="11"/>
      <c r="E128" s="11"/>
      <c r="F128" s="10"/>
      <c r="G128" s="11"/>
      <c r="H128" s="11"/>
      <c r="I128" s="11"/>
      <c r="J128" s="25"/>
      <c r="K128" s="12"/>
      <c r="L128" s="10"/>
      <c r="M128" s="10"/>
      <c r="N128" s="12"/>
      <c r="O128" s="12"/>
      <c r="P128" s="12"/>
      <c r="Q128" s="12"/>
      <c r="R128" s="10"/>
      <c r="S128" s="10"/>
      <c r="T128" s="10"/>
      <c r="U128" s="11"/>
      <c r="V128" s="10"/>
      <c r="W128" s="10"/>
      <c r="X128" s="10"/>
      <c r="Y128" s="10"/>
      <c r="Z128" s="10"/>
      <c r="AA128" s="10"/>
    </row>
    <row r="129" spans="1:27" x14ac:dyDescent="0.3">
      <c r="A129" s="8"/>
      <c r="B129" s="8"/>
      <c r="C129" s="10"/>
      <c r="D129" s="11"/>
      <c r="E129" s="11"/>
      <c r="F129" s="10"/>
      <c r="G129" s="11"/>
      <c r="H129" s="11"/>
      <c r="I129" s="11"/>
      <c r="J129" s="25"/>
      <c r="K129" s="12"/>
      <c r="L129" s="10"/>
      <c r="M129" s="10"/>
      <c r="N129" s="12"/>
      <c r="O129" s="12"/>
      <c r="P129" s="12"/>
      <c r="Q129" s="12"/>
      <c r="R129" s="11"/>
      <c r="S129" s="10"/>
      <c r="T129" s="10"/>
      <c r="U129" s="11"/>
      <c r="V129" s="11"/>
      <c r="W129" s="11"/>
      <c r="X129" s="10"/>
      <c r="Y129" s="10"/>
      <c r="Z129" s="10"/>
      <c r="AA129" s="10"/>
    </row>
    <row r="130" spans="1:27" x14ac:dyDescent="0.3">
      <c r="A130" s="8"/>
      <c r="B130" s="8"/>
      <c r="C130" s="10"/>
      <c r="D130" s="11"/>
      <c r="E130" s="11"/>
      <c r="F130" s="10"/>
      <c r="G130" s="11"/>
      <c r="H130" s="11"/>
      <c r="I130" s="11"/>
      <c r="J130" s="25"/>
      <c r="K130" s="12"/>
      <c r="L130" s="10"/>
      <c r="M130" s="10"/>
      <c r="N130" s="12"/>
      <c r="O130" s="12"/>
      <c r="P130" s="12"/>
      <c r="Q130" s="12"/>
      <c r="R130" s="11"/>
      <c r="S130" s="10"/>
      <c r="T130" s="10"/>
      <c r="U130" s="11"/>
      <c r="V130" s="11"/>
      <c r="W130" s="11"/>
      <c r="X130" s="10"/>
      <c r="Y130" s="10"/>
      <c r="Z130" s="10"/>
      <c r="AA130" s="10"/>
    </row>
    <row r="131" spans="1:27" x14ac:dyDescent="0.3">
      <c r="A131" s="8"/>
      <c r="B131" s="8"/>
      <c r="C131" s="10"/>
      <c r="D131" s="11"/>
      <c r="E131" s="11"/>
      <c r="F131" s="10"/>
      <c r="G131" s="11"/>
      <c r="H131" s="11"/>
      <c r="I131" s="11"/>
      <c r="J131" s="25"/>
      <c r="K131" s="12"/>
      <c r="L131" s="10"/>
      <c r="M131" s="10"/>
      <c r="N131" s="12"/>
      <c r="O131" s="12"/>
      <c r="P131" s="12"/>
      <c r="Q131" s="12"/>
      <c r="R131" s="11"/>
      <c r="S131" s="10"/>
      <c r="T131" s="10"/>
      <c r="U131" s="11"/>
      <c r="V131" s="11"/>
      <c r="W131" s="11"/>
      <c r="X131" s="10"/>
      <c r="Y131" s="10"/>
      <c r="Z131" s="10"/>
      <c r="AA131" s="10"/>
    </row>
    <row r="132" spans="1:27" x14ac:dyDescent="0.3">
      <c r="A132" s="8"/>
      <c r="B132" s="8"/>
      <c r="C132" s="10"/>
      <c r="D132" s="11"/>
      <c r="E132" s="11"/>
      <c r="F132" s="10"/>
      <c r="G132" s="11"/>
      <c r="H132" s="11"/>
      <c r="I132" s="11"/>
      <c r="J132" s="25"/>
      <c r="K132" s="12"/>
      <c r="L132" s="15"/>
      <c r="M132" s="11"/>
      <c r="N132" s="10"/>
      <c r="O132" s="12"/>
      <c r="P132" s="12"/>
      <c r="Q132" s="12"/>
      <c r="R132" s="11"/>
      <c r="S132" s="10"/>
      <c r="T132" s="10"/>
      <c r="U132" s="11"/>
      <c r="V132" s="11"/>
      <c r="W132" s="11"/>
      <c r="X132" s="10"/>
      <c r="Y132" s="10"/>
      <c r="Z132" s="10"/>
      <c r="AA132" s="10"/>
    </row>
    <row r="133" spans="1:27" x14ac:dyDescent="0.3">
      <c r="A133" s="8"/>
      <c r="B133" s="8"/>
      <c r="C133" s="10"/>
      <c r="D133" s="11"/>
      <c r="E133" s="11"/>
      <c r="F133" s="10"/>
      <c r="G133" s="11"/>
      <c r="H133" s="11"/>
      <c r="I133" s="11"/>
      <c r="J133" s="25"/>
      <c r="K133" s="12"/>
      <c r="L133" s="15"/>
      <c r="M133" s="11"/>
      <c r="N133" s="10"/>
      <c r="O133" s="12"/>
      <c r="P133" s="12"/>
      <c r="Q133" s="12"/>
      <c r="R133" s="11"/>
      <c r="S133" s="10"/>
      <c r="T133" s="10"/>
      <c r="U133" s="11"/>
      <c r="V133" s="11"/>
      <c r="W133" s="11"/>
      <c r="X133" s="10"/>
      <c r="Y133" s="10"/>
      <c r="Z133" s="10"/>
      <c r="AA133" s="10"/>
    </row>
    <row r="134" spans="1:27" x14ac:dyDescent="0.3">
      <c r="A134" s="8"/>
      <c r="B134" s="8"/>
      <c r="C134" s="10"/>
      <c r="D134" s="11"/>
      <c r="E134" s="11"/>
      <c r="F134" s="10"/>
      <c r="G134" s="11"/>
      <c r="H134" s="11"/>
      <c r="I134" s="11"/>
      <c r="J134" s="25"/>
      <c r="K134" s="12"/>
      <c r="L134" s="15"/>
      <c r="M134" s="11"/>
      <c r="N134" s="10"/>
      <c r="O134" s="12"/>
      <c r="P134" s="12"/>
      <c r="Q134" s="12"/>
      <c r="R134" s="11"/>
      <c r="S134" s="10"/>
      <c r="T134" s="10"/>
      <c r="U134" s="11"/>
      <c r="V134" s="11"/>
      <c r="W134" s="11"/>
      <c r="X134" s="10"/>
      <c r="Y134" s="10"/>
      <c r="Z134" s="10"/>
      <c r="AA134" s="10"/>
    </row>
    <row r="135" spans="1:27" x14ac:dyDescent="0.3">
      <c r="A135" s="8"/>
      <c r="B135" s="8"/>
      <c r="C135" s="10"/>
      <c r="D135" s="11"/>
      <c r="E135" s="11"/>
      <c r="F135" s="10"/>
      <c r="G135" s="11"/>
      <c r="H135" s="11"/>
      <c r="I135" s="11"/>
      <c r="J135" s="25"/>
      <c r="K135" s="12"/>
      <c r="L135" s="15"/>
      <c r="M135" s="11"/>
      <c r="N135" s="10"/>
      <c r="O135" s="12"/>
      <c r="P135" s="12"/>
      <c r="Q135" s="12"/>
      <c r="R135" s="11"/>
      <c r="S135" s="10"/>
      <c r="T135" s="10"/>
      <c r="U135" s="11"/>
      <c r="V135" s="11"/>
      <c r="W135" s="11"/>
      <c r="X135" s="10"/>
      <c r="Y135" s="10"/>
      <c r="Z135" s="10"/>
      <c r="AA135" s="10"/>
    </row>
    <row r="136" spans="1:27" x14ac:dyDescent="0.3">
      <c r="A136" s="8"/>
      <c r="B136" s="8"/>
      <c r="C136" s="10"/>
      <c r="D136" s="10"/>
      <c r="E136" s="11"/>
      <c r="F136" s="10"/>
      <c r="G136" s="11"/>
      <c r="H136" s="11"/>
      <c r="I136" s="11"/>
      <c r="J136" s="25"/>
      <c r="K136" s="12"/>
      <c r="L136" s="15"/>
      <c r="M136" s="11"/>
      <c r="N136" s="12"/>
      <c r="O136" s="12"/>
      <c r="P136" s="12"/>
      <c r="Q136" s="12"/>
      <c r="R136" s="11"/>
      <c r="S136" s="10"/>
      <c r="T136" s="10"/>
      <c r="U136" s="11"/>
      <c r="V136" s="10"/>
      <c r="W136" s="10"/>
      <c r="X136" s="10"/>
      <c r="Y136" s="10"/>
      <c r="Z136" s="10"/>
      <c r="AA136" s="10"/>
    </row>
    <row r="137" spans="1:27" x14ac:dyDescent="0.3">
      <c r="A137" s="8"/>
      <c r="B137" s="8"/>
      <c r="C137" s="10"/>
      <c r="D137" s="11"/>
      <c r="E137" s="11"/>
      <c r="F137" s="10"/>
      <c r="G137" s="11"/>
      <c r="H137" s="11"/>
      <c r="I137" s="11"/>
      <c r="J137" s="25"/>
      <c r="K137" s="12"/>
      <c r="L137" s="15"/>
      <c r="M137" s="11"/>
      <c r="N137" s="10"/>
      <c r="O137" s="12"/>
      <c r="P137" s="12"/>
      <c r="Q137" s="12"/>
      <c r="R137" s="11"/>
      <c r="S137" s="10"/>
      <c r="T137" s="10"/>
      <c r="U137" s="11"/>
      <c r="V137" s="11"/>
      <c r="W137" s="11"/>
      <c r="X137" s="10"/>
      <c r="Y137" s="10"/>
      <c r="Z137" s="10"/>
      <c r="AA137" s="10"/>
    </row>
    <row r="138" spans="1:27" x14ac:dyDescent="0.3">
      <c r="A138" s="8"/>
      <c r="B138" s="8"/>
      <c r="C138" s="10"/>
      <c r="D138" s="11"/>
      <c r="E138" s="11"/>
      <c r="F138" s="10"/>
      <c r="G138" s="11"/>
      <c r="H138" s="11"/>
      <c r="I138" s="11"/>
      <c r="J138" s="25"/>
      <c r="K138" s="12"/>
      <c r="L138" s="15"/>
      <c r="M138" s="11"/>
      <c r="N138" s="10"/>
      <c r="O138" s="12"/>
      <c r="P138" s="12"/>
      <c r="Q138" s="12"/>
      <c r="R138" s="11"/>
      <c r="S138" s="10"/>
      <c r="T138" s="10"/>
      <c r="U138" s="11"/>
      <c r="V138" s="11"/>
      <c r="W138" s="11"/>
      <c r="X138" s="10"/>
      <c r="Y138" s="10"/>
      <c r="Z138" s="10"/>
      <c r="AA138" s="10"/>
    </row>
    <row r="139" spans="1:27" x14ac:dyDescent="0.3">
      <c r="A139" s="8"/>
      <c r="B139" s="8"/>
      <c r="C139" s="10"/>
      <c r="D139" s="11"/>
      <c r="E139" s="11"/>
      <c r="F139" s="10"/>
      <c r="G139" s="11"/>
      <c r="H139" s="11"/>
      <c r="I139" s="11"/>
      <c r="J139" s="25"/>
      <c r="K139" s="12"/>
      <c r="L139" s="15"/>
      <c r="M139" s="11"/>
      <c r="N139" s="10"/>
      <c r="O139" s="12"/>
      <c r="P139" s="12"/>
      <c r="Q139" s="12"/>
      <c r="R139" s="11"/>
      <c r="S139" s="10"/>
      <c r="T139" s="10"/>
      <c r="U139" s="11"/>
      <c r="V139" s="11"/>
      <c r="W139" s="11"/>
      <c r="X139" s="10"/>
      <c r="Y139" s="10"/>
      <c r="Z139" s="10"/>
      <c r="AA139" s="10"/>
    </row>
    <row r="140" spans="1:27" x14ac:dyDescent="0.3">
      <c r="A140" s="8"/>
      <c r="B140" s="8"/>
      <c r="C140" s="10"/>
      <c r="D140" s="11"/>
      <c r="E140" s="11"/>
      <c r="F140" s="10"/>
      <c r="G140" s="11"/>
      <c r="H140" s="11"/>
      <c r="I140" s="11"/>
      <c r="J140" s="25"/>
      <c r="K140" s="12"/>
      <c r="L140" s="15"/>
      <c r="M140" s="11"/>
      <c r="N140" s="10"/>
      <c r="O140" s="12"/>
      <c r="P140" s="12"/>
      <c r="Q140" s="12"/>
      <c r="R140" s="11"/>
      <c r="S140" s="10"/>
      <c r="T140" s="10"/>
      <c r="U140" s="11"/>
      <c r="V140" s="11"/>
      <c r="W140" s="11"/>
      <c r="X140" s="10"/>
      <c r="Y140" s="10"/>
      <c r="Z140" s="10"/>
      <c r="AA140" s="10"/>
    </row>
    <row r="141" spans="1:27" x14ac:dyDescent="0.3">
      <c r="A141" s="8"/>
      <c r="B141" s="8"/>
      <c r="C141" s="10"/>
      <c r="D141" s="11"/>
      <c r="E141" s="11"/>
      <c r="F141" s="10"/>
      <c r="G141" s="11"/>
      <c r="H141" s="11"/>
      <c r="I141" s="11"/>
      <c r="J141" s="25"/>
      <c r="K141" s="12"/>
      <c r="L141" s="11"/>
      <c r="M141" s="11"/>
      <c r="N141" s="10"/>
      <c r="O141" s="12"/>
      <c r="P141" s="12"/>
      <c r="Q141" s="12"/>
      <c r="R141" s="11"/>
      <c r="S141" s="10"/>
      <c r="T141" s="10"/>
      <c r="U141" s="11"/>
      <c r="V141" s="11"/>
      <c r="W141" s="11"/>
      <c r="X141" s="10"/>
      <c r="Y141" s="10"/>
      <c r="Z141" s="10"/>
      <c r="AA141" s="10"/>
    </row>
    <row r="142" spans="1:27" x14ac:dyDescent="0.3">
      <c r="A142" s="8"/>
      <c r="B142" s="8"/>
      <c r="C142" s="10"/>
      <c r="D142" s="11"/>
      <c r="E142" s="11"/>
      <c r="F142" s="10"/>
      <c r="G142" s="11"/>
      <c r="H142" s="11"/>
      <c r="I142" s="11"/>
      <c r="J142" s="25"/>
      <c r="K142" s="12"/>
      <c r="L142" s="15"/>
      <c r="M142" s="11"/>
      <c r="N142" s="10"/>
      <c r="O142" s="12"/>
      <c r="P142" s="12"/>
      <c r="Q142" s="12"/>
      <c r="R142" s="11"/>
      <c r="S142" s="10"/>
      <c r="T142" s="10"/>
      <c r="U142" s="11"/>
      <c r="V142" s="11"/>
      <c r="W142" s="11"/>
      <c r="X142" s="10"/>
      <c r="Y142" s="10"/>
      <c r="Z142" s="10"/>
      <c r="AA142" s="10"/>
    </row>
    <row r="143" spans="1:27" x14ac:dyDescent="0.3">
      <c r="A143" s="8"/>
      <c r="B143" s="8"/>
      <c r="C143" s="10"/>
      <c r="D143" s="11"/>
      <c r="E143" s="11"/>
      <c r="F143" s="11"/>
      <c r="G143" s="11"/>
      <c r="H143" s="11"/>
      <c r="I143" s="11"/>
      <c r="J143" s="25"/>
      <c r="K143" s="12"/>
      <c r="L143" s="15"/>
      <c r="M143" s="15"/>
      <c r="N143" s="10"/>
      <c r="O143" s="12"/>
      <c r="P143" s="12"/>
      <c r="Q143" s="12"/>
      <c r="R143" s="10"/>
      <c r="S143" s="10"/>
      <c r="T143" s="11"/>
      <c r="U143" s="11"/>
      <c r="V143" s="11"/>
      <c r="W143" s="11"/>
      <c r="X143" s="10"/>
      <c r="Y143" s="10"/>
      <c r="Z143" s="10"/>
      <c r="AA143" s="10"/>
    </row>
    <row r="144" spans="1:27" x14ac:dyDescent="0.3">
      <c r="A144" s="8"/>
      <c r="B144" s="8"/>
      <c r="C144" s="10"/>
      <c r="D144" s="11"/>
      <c r="E144" s="11"/>
      <c r="F144" s="11"/>
      <c r="G144" s="11"/>
      <c r="H144" s="11"/>
      <c r="I144" s="11"/>
      <c r="J144" s="25"/>
      <c r="K144" s="12"/>
      <c r="L144" s="15"/>
      <c r="M144" s="15"/>
      <c r="N144" s="11"/>
      <c r="O144" s="12"/>
      <c r="P144" s="12"/>
      <c r="Q144" s="12"/>
      <c r="R144" s="10"/>
      <c r="S144" s="10"/>
      <c r="T144" s="11"/>
      <c r="U144" s="11"/>
      <c r="V144" s="11"/>
      <c r="W144" s="11"/>
      <c r="X144" s="10"/>
      <c r="Y144" s="10"/>
      <c r="Z144" s="10"/>
      <c r="AA144" s="10"/>
    </row>
    <row r="145" spans="1:27" x14ac:dyDescent="0.3">
      <c r="A145" s="8"/>
      <c r="B145" s="8"/>
      <c r="C145" s="10"/>
      <c r="D145" s="11"/>
      <c r="E145" s="11"/>
      <c r="F145" s="11"/>
      <c r="G145" s="11"/>
      <c r="H145" s="11"/>
      <c r="I145" s="11"/>
      <c r="J145" s="25"/>
      <c r="K145" s="12"/>
      <c r="L145" s="15"/>
      <c r="M145" s="11"/>
      <c r="N145" s="10"/>
      <c r="O145" s="12"/>
      <c r="P145" s="12"/>
      <c r="Q145" s="12"/>
      <c r="R145" s="10"/>
      <c r="S145" s="10"/>
      <c r="T145" s="10"/>
      <c r="U145" s="11"/>
      <c r="V145" s="10"/>
      <c r="W145" s="10"/>
      <c r="X145" s="10"/>
      <c r="Y145" s="10"/>
      <c r="Z145" s="10"/>
      <c r="AA145" s="10"/>
    </row>
    <row r="146" spans="1:27" x14ac:dyDescent="0.3">
      <c r="A146" s="8"/>
      <c r="B146" s="8"/>
      <c r="C146" s="10"/>
      <c r="D146" s="11"/>
      <c r="E146" s="11"/>
      <c r="F146" s="10"/>
      <c r="G146" s="11"/>
      <c r="H146" s="11"/>
      <c r="I146" s="11"/>
      <c r="J146" s="25"/>
      <c r="K146" s="12"/>
      <c r="L146" s="10"/>
      <c r="M146" s="10"/>
      <c r="N146" s="12"/>
      <c r="O146" s="12"/>
      <c r="P146" s="12"/>
      <c r="Q146" s="12"/>
      <c r="R146" s="11"/>
      <c r="S146" s="10"/>
      <c r="T146" s="10"/>
      <c r="U146" s="11"/>
      <c r="V146" s="11"/>
      <c r="W146" s="11"/>
      <c r="X146" s="10"/>
      <c r="Y146" s="10"/>
      <c r="Z146" s="10"/>
      <c r="AA146" s="10"/>
    </row>
    <row r="147" spans="1:27" x14ac:dyDescent="0.3">
      <c r="A147" s="8"/>
      <c r="B147" s="8"/>
      <c r="C147" s="10"/>
      <c r="D147" s="11"/>
      <c r="E147" s="11"/>
      <c r="F147" s="10"/>
      <c r="G147" s="11"/>
      <c r="H147" s="11"/>
      <c r="I147" s="11"/>
      <c r="J147" s="25"/>
      <c r="K147" s="12"/>
      <c r="L147" s="15"/>
      <c r="M147" s="11"/>
      <c r="N147" s="10"/>
      <c r="O147" s="12"/>
      <c r="P147" s="12"/>
      <c r="Q147" s="12"/>
      <c r="R147" s="10"/>
      <c r="S147" s="10"/>
      <c r="T147" s="10"/>
      <c r="U147" s="11"/>
      <c r="V147" s="10"/>
      <c r="W147" s="10"/>
      <c r="X147" s="10"/>
      <c r="Y147" s="10"/>
      <c r="Z147" s="10"/>
      <c r="AA147" s="10"/>
    </row>
    <row r="148" spans="1:27" x14ac:dyDescent="0.3">
      <c r="A148" s="8"/>
      <c r="B148" s="8"/>
      <c r="C148" s="10"/>
      <c r="D148" s="11"/>
      <c r="E148" s="11"/>
      <c r="F148" s="10"/>
      <c r="G148" s="11"/>
      <c r="H148" s="11"/>
      <c r="I148" s="11"/>
      <c r="J148" s="25"/>
      <c r="K148" s="12"/>
      <c r="L148" s="15"/>
      <c r="M148" s="11"/>
      <c r="N148" s="10"/>
      <c r="O148" s="12"/>
      <c r="P148" s="12"/>
      <c r="Q148" s="12"/>
      <c r="R148" s="11"/>
      <c r="S148" s="10"/>
      <c r="T148" s="10"/>
      <c r="U148" s="11"/>
      <c r="V148" s="11"/>
      <c r="W148" s="11"/>
      <c r="X148" s="10"/>
      <c r="Y148" s="10"/>
      <c r="Z148" s="10"/>
      <c r="AA148" s="10"/>
    </row>
    <row r="149" spans="1:27" x14ac:dyDescent="0.3">
      <c r="A149" s="8"/>
      <c r="B149" s="8"/>
      <c r="C149" s="10"/>
      <c r="D149" s="11"/>
      <c r="E149" s="11"/>
      <c r="F149" s="10"/>
      <c r="G149" s="11"/>
      <c r="H149" s="11"/>
      <c r="I149" s="11"/>
      <c r="J149" s="25"/>
      <c r="K149" s="12"/>
      <c r="L149" s="10"/>
      <c r="M149" s="10"/>
      <c r="N149" s="12"/>
      <c r="O149" s="12"/>
      <c r="P149" s="12"/>
      <c r="Q149" s="12"/>
      <c r="R149" s="11"/>
      <c r="S149" s="10"/>
      <c r="T149" s="10"/>
      <c r="U149" s="11"/>
      <c r="V149" s="11"/>
      <c r="W149" s="11"/>
      <c r="X149" s="10"/>
      <c r="Y149" s="10"/>
      <c r="Z149" s="10"/>
      <c r="AA149" s="10"/>
    </row>
    <row r="150" spans="1:27" x14ac:dyDescent="0.3">
      <c r="A150" s="8"/>
      <c r="B150" s="8"/>
      <c r="C150" s="10"/>
      <c r="D150" s="11"/>
      <c r="E150" s="11"/>
      <c r="F150" s="10"/>
      <c r="G150" s="11"/>
      <c r="H150" s="11"/>
      <c r="I150" s="11"/>
      <c r="J150" s="25"/>
      <c r="K150" s="12"/>
      <c r="L150" s="15"/>
      <c r="M150" s="11"/>
      <c r="N150" s="10"/>
      <c r="O150" s="12"/>
      <c r="P150" s="12"/>
      <c r="Q150" s="12"/>
      <c r="R150" s="11"/>
      <c r="S150" s="10"/>
      <c r="T150" s="10"/>
      <c r="U150" s="11"/>
      <c r="V150" s="11"/>
      <c r="W150" s="11"/>
      <c r="X150" s="10"/>
      <c r="Y150" s="10"/>
      <c r="Z150" s="10"/>
      <c r="AA150" s="10"/>
    </row>
    <row r="151" spans="1:27" x14ac:dyDescent="0.3">
      <c r="A151" s="8"/>
      <c r="B151" s="8"/>
      <c r="C151" s="10"/>
      <c r="D151" s="11"/>
      <c r="E151" s="11"/>
      <c r="F151" s="10"/>
      <c r="G151" s="11"/>
      <c r="H151" s="11"/>
      <c r="I151" s="11"/>
      <c r="J151" s="25"/>
      <c r="K151" s="12"/>
      <c r="L151" s="10"/>
      <c r="M151" s="10"/>
      <c r="N151" s="12"/>
      <c r="O151" s="12"/>
      <c r="P151" s="12"/>
      <c r="Q151" s="12"/>
      <c r="R151" s="11"/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x14ac:dyDescent="0.3">
      <c r="A152" s="8"/>
      <c r="B152" s="8"/>
      <c r="C152" s="10"/>
      <c r="D152" s="11"/>
      <c r="E152" s="11"/>
      <c r="F152" s="10"/>
      <c r="G152" s="11"/>
      <c r="H152" s="11"/>
      <c r="I152" s="11"/>
      <c r="J152" s="25"/>
      <c r="K152" s="12"/>
      <c r="L152" s="10"/>
      <c r="M152" s="10"/>
      <c r="N152" s="12"/>
      <c r="O152" s="11"/>
      <c r="P152" s="11"/>
      <c r="Q152" s="12"/>
      <c r="R152" s="11"/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x14ac:dyDescent="0.3">
      <c r="A153" s="8"/>
      <c r="B153" s="8"/>
      <c r="C153" s="10"/>
      <c r="D153" s="11"/>
      <c r="E153" s="11"/>
      <c r="F153" s="10"/>
      <c r="G153" s="11"/>
      <c r="H153" s="11"/>
      <c r="I153" s="11"/>
      <c r="J153" s="25"/>
      <c r="K153" s="12"/>
      <c r="L153" s="10"/>
      <c r="M153" s="10"/>
      <c r="N153" s="12"/>
      <c r="O153" s="12"/>
      <c r="P153" s="12"/>
      <c r="Q153" s="12"/>
      <c r="R153" s="11"/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x14ac:dyDescent="0.3">
      <c r="A154" s="8"/>
      <c r="B154" s="8"/>
      <c r="C154" s="10"/>
      <c r="D154" s="11"/>
      <c r="E154" s="11"/>
      <c r="F154" s="10"/>
      <c r="G154" s="11"/>
      <c r="H154" s="11"/>
      <c r="I154" s="11"/>
      <c r="J154" s="25"/>
      <c r="K154" s="12"/>
      <c r="L154" s="10"/>
      <c r="M154" s="10"/>
      <c r="N154" s="12"/>
      <c r="O154" s="11"/>
      <c r="P154" s="11"/>
      <c r="Q154" s="12"/>
      <c r="R154" s="11"/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x14ac:dyDescent="0.3">
      <c r="A155" s="8"/>
      <c r="B155" s="8"/>
      <c r="C155" s="10"/>
      <c r="D155" s="11"/>
      <c r="E155" s="11"/>
      <c r="F155" s="10"/>
      <c r="G155" s="11"/>
      <c r="H155" s="11"/>
      <c r="I155" s="11"/>
      <c r="J155" s="25"/>
      <c r="K155" s="12"/>
      <c r="L155" s="10"/>
      <c r="M155" s="10"/>
      <c r="N155" s="12"/>
      <c r="O155" s="12"/>
      <c r="P155" s="12"/>
      <c r="Q155" s="12"/>
      <c r="R155" s="11"/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x14ac:dyDescent="0.3">
      <c r="A156" s="8"/>
      <c r="B156" s="8"/>
      <c r="C156" s="10"/>
      <c r="D156" s="11"/>
      <c r="E156" s="11"/>
      <c r="F156" s="10"/>
      <c r="G156" s="11"/>
      <c r="H156" s="11"/>
      <c r="I156" s="11"/>
      <c r="J156" s="25"/>
      <c r="K156" s="12"/>
      <c r="L156" s="10"/>
      <c r="M156" s="10"/>
      <c r="N156" s="12"/>
      <c r="O156" s="11"/>
      <c r="P156" s="11"/>
      <c r="Q156" s="12"/>
      <c r="R156" s="11"/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x14ac:dyDescent="0.3">
      <c r="A157" s="8"/>
      <c r="B157" s="8"/>
      <c r="C157" s="10"/>
      <c r="D157" s="11"/>
      <c r="E157" s="11"/>
      <c r="F157" s="10"/>
      <c r="G157" s="11"/>
      <c r="H157" s="11"/>
      <c r="I157" s="11"/>
      <c r="J157" s="25"/>
      <c r="K157" s="12"/>
      <c r="L157" s="10"/>
      <c r="M157" s="10"/>
      <c r="N157" s="12"/>
      <c r="O157" s="12"/>
      <c r="P157" s="12"/>
      <c r="Q157" s="12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x14ac:dyDescent="0.3">
      <c r="A158" s="8"/>
      <c r="B158" s="8"/>
      <c r="C158" s="10"/>
      <c r="D158" s="11"/>
      <c r="E158" s="11"/>
      <c r="F158" s="10"/>
      <c r="G158" s="11"/>
      <c r="H158" s="11"/>
      <c r="I158" s="11"/>
      <c r="J158" s="25"/>
      <c r="K158" s="12"/>
      <c r="L158" s="11"/>
      <c r="M158" s="11"/>
      <c r="N158" s="10"/>
      <c r="O158" s="12"/>
      <c r="P158" s="12"/>
      <c r="Q158" s="12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x14ac:dyDescent="0.3">
      <c r="A159" s="8"/>
      <c r="B159" s="8"/>
      <c r="C159" s="10"/>
      <c r="D159" s="11"/>
      <c r="E159" s="11"/>
      <c r="F159" s="10"/>
      <c r="G159" s="11"/>
      <c r="H159" s="11"/>
      <c r="I159" s="11"/>
      <c r="J159" s="25"/>
      <c r="K159" s="11"/>
      <c r="L159" s="11"/>
      <c r="M159" s="11"/>
      <c r="N159" s="11"/>
      <c r="O159" s="12"/>
      <c r="P159" s="12"/>
      <c r="Q159" s="12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x14ac:dyDescent="0.3">
      <c r="A160" s="8"/>
      <c r="B160" s="8"/>
      <c r="C160" s="10"/>
      <c r="D160" s="10"/>
      <c r="E160" s="11"/>
      <c r="F160" s="10"/>
      <c r="G160" s="11"/>
      <c r="H160" s="11"/>
      <c r="I160" s="11"/>
      <c r="J160" s="25"/>
      <c r="K160" s="12"/>
      <c r="L160" s="10"/>
      <c r="M160" s="10"/>
      <c r="N160" s="12"/>
      <c r="O160" s="12"/>
      <c r="P160" s="12"/>
      <c r="Q160" s="12"/>
      <c r="R160" s="11"/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x14ac:dyDescent="0.3">
      <c r="A161" s="8"/>
      <c r="B161" s="8"/>
      <c r="C161" s="10"/>
      <c r="D161" s="11"/>
      <c r="E161" s="11"/>
      <c r="F161" s="10"/>
      <c r="G161" s="11"/>
      <c r="H161" s="11"/>
      <c r="I161" s="11"/>
      <c r="J161" s="25"/>
      <c r="K161" s="12"/>
      <c r="L161" s="10"/>
      <c r="M161" s="10"/>
      <c r="N161" s="12"/>
      <c r="O161" s="12"/>
      <c r="P161" s="12"/>
      <c r="Q161" s="12"/>
      <c r="R161" s="11"/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x14ac:dyDescent="0.3">
      <c r="A162" s="8"/>
      <c r="B162" s="8"/>
      <c r="C162" s="10"/>
      <c r="D162" s="11"/>
      <c r="E162" s="11"/>
      <c r="F162" s="10"/>
      <c r="G162" s="11"/>
      <c r="H162" s="11"/>
      <c r="I162" s="11"/>
      <c r="J162" s="25"/>
      <c r="K162" s="12"/>
      <c r="L162" s="15"/>
      <c r="M162" s="11"/>
      <c r="N162" s="11"/>
      <c r="O162" s="12"/>
      <c r="P162" s="12"/>
      <c r="Q162" s="12"/>
      <c r="R162" s="11"/>
      <c r="S162" s="10"/>
      <c r="T162" s="10"/>
      <c r="U162" s="11"/>
      <c r="V162" s="11"/>
      <c r="W162" s="11"/>
      <c r="X162" s="10"/>
      <c r="Y162" s="10"/>
      <c r="Z162" s="10"/>
      <c r="AA162" s="10"/>
    </row>
    <row r="163" spans="1:27" x14ac:dyDescent="0.3">
      <c r="A163" s="8"/>
      <c r="B163" s="8"/>
      <c r="C163" s="10"/>
      <c r="D163" s="11"/>
      <c r="E163" s="11"/>
      <c r="F163" s="10"/>
      <c r="G163" s="11"/>
      <c r="H163" s="11"/>
      <c r="I163" s="11"/>
      <c r="J163" s="25"/>
      <c r="K163" s="12"/>
      <c r="L163" s="11"/>
      <c r="M163" s="11"/>
      <c r="N163" s="11"/>
      <c r="O163" s="12"/>
      <c r="P163" s="12"/>
      <c r="Q163" s="12"/>
      <c r="R163" s="11"/>
      <c r="S163" s="10"/>
      <c r="T163" s="10"/>
      <c r="U163" s="11"/>
      <c r="V163" s="11"/>
      <c r="W163" s="11"/>
      <c r="X163" s="10"/>
      <c r="Y163" s="10"/>
      <c r="Z163" s="10"/>
      <c r="AA163" s="10"/>
    </row>
    <row r="164" spans="1:27" x14ac:dyDescent="0.3">
      <c r="A164" s="8"/>
      <c r="B164" s="8"/>
      <c r="C164" s="10"/>
      <c r="D164" s="11"/>
      <c r="E164" s="11"/>
      <c r="F164" s="10"/>
      <c r="H164" s="11"/>
      <c r="I164" s="11"/>
      <c r="J164" s="25"/>
      <c r="K164" s="12"/>
      <c r="L164" s="11"/>
      <c r="M164" s="11"/>
      <c r="N164" s="11"/>
      <c r="O164" s="12"/>
      <c r="P164" s="12"/>
      <c r="Q164" s="12"/>
      <c r="R164" s="11"/>
      <c r="S164" s="10"/>
      <c r="T164" s="10"/>
      <c r="U164" s="11"/>
      <c r="V164" s="11"/>
      <c r="W164" s="11"/>
      <c r="X164" s="10"/>
      <c r="Y164" s="10"/>
      <c r="Z164" s="10"/>
      <c r="AA164" s="10"/>
    </row>
    <row r="165" spans="1:27" x14ac:dyDescent="0.3">
      <c r="A165" s="8"/>
      <c r="B165" s="8"/>
      <c r="C165" s="10"/>
      <c r="D165" s="11"/>
      <c r="E165" s="11"/>
      <c r="F165" s="10"/>
      <c r="G165" s="11"/>
      <c r="H165" s="11"/>
      <c r="I165" s="11"/>
      <c r="J165" s="25"/>
      <c r="K165" s="12"/>
      <c r="L165" s="11"/>
      <c r="M165" s="11"/>
      <c r="N165" s="11"/>
      <c r="O165" s="12"/>
      <c r="P165" s="12"/>
      <c r="Q165" s="12"/>
      <c r="R165" s="11"/>
      <c r="S165" s="10"/>
      <c r="T165" s="10"/>
      <c r="U165" s="11"/>
      <c r="V165" s="11"/>
      <c r="W165" s="11"/>
      <c r="X165" s="10"/>
      <c r="Y165" s="10"/>
      <c r="Z165" s="10"/>
      <c r="AA165" s="10"/>
    </row>
    <row r="166" spans="1:27" x14ac:dyDescent="0.3">
      <c r="A166" s="8"/>
      <c r="B166" s="8"/>
      <c r="C166" s="10"/>
      <c r="D166" s="11"/>
      <c r="E166" s="11"/>
      <c r="F166" s="10"/>
      <c r="G166" s="11"/>
      <c r="H166" s="11"/>
      <c r="I166" s="11"/>
      <c r="J166" s="25"/>
      <c r="K166" s="12"/>
      <c r="L166" s="15"/>
      <c r="M166" s="11"/>
      <c r="N166" s="10"/>
      <c r="O166" s="12"/>
      <c r="P166" s="12"/>
      <c r="Q166" s="12"/>
      <c r="R166" s="11"/>
      <c r="S166" s="10"/>
      <c r="T166" s="10"/>
      <c r="U166" s="11"/>
      <c r="V166" s="11"/>
      <c r="W166" s="11"/>
      <c r="X166" s="10"/>
      <c r="Y166" s="10"/>
      <c r="Z166" s="10"/>
      <c r="AA166" s="10"/>
    </row>
    <row r="167" spans="1:27" x14ac:dyDescent="0.3">
      <c r="A167" s="8"/>
      <c r="B167" s="8"/>
      <c r="C167" s="10"/>
      <c r="D167" s="11"/>
      <c r="E167" s="11"/>
      <c r="F167" s="10"/>
      <c r="G167" s="11"/>
      <c r="H167" s="11"/>
      <c r="I167" s="11"/>
      <c r="J167" s="25"/>
      <c r="K167" s="12"/>
      <c r="L167" s="11"/>
      <c r="M167" s="11"/>
      <c r="N167" s="10"/>
      <c r="O167" s="12"/>
      <c r="P167" s="12"/>
      <c r="Q167" s="12"/>
      <c r="R167" s="11"/>
      <c r="S167" s="10"/>
      <c r="T167" s="10"/>
      <c r="U167" s="11"/>
      <c r="V167" s="11"/>
      <c r="W167" s="11"/>
      <c r="X167" s="10"/>
      <c r="Y167" s="10"/>
      <c r="Z167" s="10"/>
      <c r="AA167" s="10"/>
    </row>
    <row r="168" spans="1:27" x14ac:dyDescent="0.3">
      <c r="A168" s="8"/>
      <c r="B168" s="8"/>
      <c r="C168" s="10"/>
      <c r="D168" s="11"/>
      <c r="E168" s="11"/>
      <c r="F168" s="10"/>
      <c r="G168" s="11"/>
      <c r="H168" s="11"/>
      <c r="I168" s="11"/>
      <c r="J168" s="25"/>
      <c r="K168" s="12"/>
      <c r="L168" s="11"/>
      <c r="M168" s="11"/>
      <c r="N168" s="10"/>
      <c r="O168" s="12"/>
      <c r="P168" s="12"/>
      <c r="Q168" s="12"/>
      <c r="R168" s="11"/>
      <c r="S168" s="10"/>
      <c r="T168" s="10"/>
      <c r="U168" s="11"/>
      <c r="V168" s="11"/>
      <c r="W168" s="11"/>
      <c r="X168" s="10"/>
      <c r="Y168" s="10"/>
      <c r="Z168" s="10"/>
      <c r="AA168" s="10"/>
    </row>
    <row r="169" spans="1:27" x14ac:dyDescent="0.3">
      <c r="A169" s="8"/>
      <c r="B169" s="8"/>
      <c r="C169" s="10"/>
      <c r="D169" s="11"/>
      <c r="E169" s="11"/>
      <c r="F169" s="10"/>
      <c r="G169" s="11"/>
      <c r="H169" s="11"/>
      <c r="I169" s="11"/>
      <c r="J169" s="25"/>
      <c r="K169" s="12"/>
      <c r="L169" s="10"/>
      <c r="M169" s="10"/>
      <c r="N169" s="12"/>
      <c r="O169" s="12"/>
      <c r="P169" s="12"/>
      <c r="Q169" s="12"/>
      <c r="R169" s="11"/>
      <c r="S169" s="10"/>
      <c r="T169" s="10"/>
      <c r="U169" s="11"/>
      <c r="V169" s="11"/>
      <c r="W169" s="11"/>
      <c r="X169" s="10"/>
      <c r="Y169" s="10"/>
      <c r="Z169" s="10"/>
      <c r="AA169" s="10"/>
    </row>
    <row r="170" spans="1:27" x14ac:dyDescent="0.3">
      <c r="A170" s="8"/>
      <c r="B170" s="8"/>
      <c r="C170" s="10"/>
      <c r="D170" s="11"/>
      <c r="E170" s="11"/>
      <c r="F170" s="10"/>
      <c r="G170" s="11"/>
      <c r="H170" s="11"/>
      <c r="I170" s="11"/>
      <c r="J170" s="25"/>
      <c r="K170" s="12"/>
      <c r="L170" s="10"/>
      <c r="M170" s="10"/>
      <c r="N170" s="12"/>
      <c r="O170" s="12"/>
      <c r="P170" s="12"/>
      <c r="Q170" s="12"/>
      <c r="R170" s="11"/>
      <c r="S170" s="10"/>
      <c r="T170" s="10"/>
      <c r="U170" s="11"/>
      <c r="V170" s="10"/>
      <c r="W170" s="10"/>
      <c r="X170" s="10"/>
      <c r="Y170" s="10"/>
      <c r="Z170" s="10"/>
      <c r="AA170" s="10"/>
    </row>
    <row r="171" spans="1:27" x14ac:dyDescent="0.3">
      <c r="A171" s="8"/>
      <c r="B171" s="8"/>
      <c r="C171" s="10"/>
      <c r="D171" s="11"/>
      <c r="E171" s="11"/>
      <c r="F171" s="10"/>
      <c r="G171" s="11"/>
      <c r="H171" s="11"/>
      <c r="I171" s="11"/>
      <c r="J171" s="25"/>
      <c r="K171" s="12"/>
      <c r="L171" s="10"/>
      <c r="M171" s="10"/>
      <c r="N171" s="10"/>
      <c r="O171" s="12"/>
      <c r="P171" s="12"/>
      <c r="Q171" s="12"/>
      <c r="R171" s="11"/>
      <c r="S171" s="10"/>
      <c r="T171" s="10"/>
      <c r="U171" s="11"/>
      <c r="V171" s="10"/>
      <c r="W171" s="10"/>
      <c r="X171" s="10"/>
      <c r="Y171" s="10"/>
      <c r="Z171" s="10"/>
      <c r="AA171" s="10"/>
    </row>
    <row r="172" spans="1:27" x14ac:dyDescent="0.3">
      <c r="A172" s="8"/>
      <c r="B172" s="8"/>
      <c r="C172" s="10"/>
      <c r="D172" s="10"/>
      <c r="E172" s="11"/>
      <c r="F172" s="10"/>
      <c r="G172" s="11"/>
      <c r="H172" s="11"/>
      <c r="I172" s="11"/>
      <c r="J172" s="25"/>
      <c r="K172" s="12"/>
      <c r="L172" s="10"/>
      <c r="M172" s="10"/>
      <c r="N172" s="12"/>
      <c r="O172" s="12"/>
      <c r="P172" s="12"/>
      <c r="Q172" s="12"/>
      <c r="R172" s="11"/>
      <c r="S172" s="10"/>
      <c r="T172" s="10"/>
      <c r="U172" s="11"/>
      <c r="V172" s="10"/>
      <c r="W172" s="10"/>
      <c r="X172" s="10"/>
      <c r="Y172" s="10"/>
      <c r="Z172" s="10"/>
      <c r="AA172" s="10"/>
    </row>
    <row r="173" spans="1:27" x14ac:dyDescent="0.3">
      <c r="A173" s="8"/>
      <c r="B173" s="8"/>
      <c r="C173" s="10"/>
      <c r="D173" s="11"/>
      <c r="E173" s="11"/>
      <c r="F173" s="10"/>
      <c r="G173" s="11"/>
      <c r="H173" s="11"/>
      <c r="I173" s="11"/>
      <c r="J173" s="25"/>
      <c r="K173" s="12"/>
      <c r="L173" s="10"/>
      <c r="M173" s="10"/>
      <c r="N173" s="12"/>
      <c r="O173" s="12"/>
      <c r="P173" s="12"/>
      <c r="Q173" s="12"/>
      <c r="R173" s="10"/>
      <c r="S173" s="10"/>
      <c r="T173" s="10"/>
      <c r="U173" s="11"/>
      <c r="V173" s="10"/>
      <c r="W173" s="10"/>
      <c r="X173" s="10"/>
      <c r="Y173" s="10"/>
      <c r="Z173" s="10"/>
      <c r="AA173" s="10"/>
    </row>
    <row r="174" spans="1:27" x14ac:dyDescent="0.3">
      <c r="A174" s="8"/>
      <c r="B174" s="8"/>
      <c r="C174" s="10"/>
      <c r="D174" s="11"/>
      <c r="E174" s="11"/>
      <c r="F174" s="10"/>
      <c r="G174" s="11"/>
      <c r="H174" s="11"/>
      <c r="I174" s="11"/>
      <c r="J174" s="25"/>
      <c r="K174" s="12"/>
      <c r="L174" s="15"/>
      <c r="M174" s="11"/>
      <c r="N174" s="10"/>
      <c r="O174" s="12"/>
      <c r="P174" s="12"/>
      <c r="Q174" s="12"/>
      <c r="R174" s="11"/>
      <c r="S174" s="10"/>
      <c r="T174" s="10"/>
      <c r="U174" s="11"/>
      <c r="V174" s="10"/>
      <c r="W174" s="10"/>
      <c r="X174" s="10"/>
      <c r="Y174" s="10"/>
      <c r="Z174" s="10"/>
      <c r="AA174" s="10"/>
    </row>
    <row r="175" spans="1:27" x14ac:dyDescent="0.3">
      <c r="A175" s="8"/>
      <c r="B175" s="8"/>
      <c r="C175" s="10"/>
      <c r="D175" s="11"/>
      <c r="E175" s="11"/>
      <c r="F175" s="10"/>
      <c r="G175" s="11"/>
      <c r="H175" s="11"/>
      <c r="I175" s="11"/>
      <c r="J175" s="25"/>
      <c r="K175" s="12"/>
      <c r="L175" s="10"/>
      <c r="M175" s="10"/>
      <c r="N175" s="12"/>
      <c r="O175" s="12"/>
      <c r="P175" s="12"/>
      <c r="Q175" s="12"/>
      <c r="R175" s="10"/>
      <c r="S175" s="10"/>
      <c r="T175" s="10"/>
      <c r="U175" s="11"/>
      <c r="V175" s="10"/>
      <c r="W175" s="10"/>
      <c r="X175" s="10"/>
      <c r="Y175" s="10"/>
      <c r="Z175" s="10"/>
      <c r="AA175" s="10"/>
    </row>
    <row r="176" spans="1:27" x14ac:dyDescent="0.3">
      <c r="A176" s="8"/>
      <c r="B176" s="8"/>
      <c r="C176" s="10"/>
      <c r="D176" s="11"/>
      <c r="E176" s="11"/>
      <c r="F176" s="10"/>
      <c r="G176" s="11"/>
      <c r="H176" s="11"/>
      <c r="I176" s="11"/>
      <c r="J176" s="25"/>
      <c r="K176" s="12"/>
      <c r="L176" s="10"/>
      <c r="M176" s="10"/>
      <c r="N176" s="12"/>
      <c r="O176" s="12"/>
      <c r="P176" s="12"/>
      <c r="Q176" s="12"/>
      <c r="R176" s="10"/>
      <c r="S176" s="10"/>
      <c r="T176" s="10"/>
      <c r="U176" s="11"/>
      <c r="V176" s="10"/>
      <c r="W176" s="10"/>
      <c r="X176" s="10"/>
      <c r="Y176" s="10"/>
      <c r="Z176" s="10"/>
      <c r="AA176" s="10"/>
    </row>
    <row r="177" spans="1:27" x14ac:dyDescent="0.3">
      <c r="A177" s="8"/>
      <c r="B177" s="8"/>
      <c r="C177" s="10"/>
      <c r="D177" s="11"/>
      <c r="E177" s="11"/>
      <c r="F177" s="10"/>
      <c r="G177" s="11"/>
      <c r="H177" s="11"/>
      <c r="I177" s="11"/>
      <c r="J177" s="25"/>
      <c r="K177" s="12"/>
      <c r="L177" s="10"/>
      <c r="M177" s="10"/>
      <c r="N177" s="12"/>
      <c r="O177" s="12"/>
      <c r="P177" s="12"/>
      <c r="Q177" s="12"/>
      <c r="R177" s="10"/>
      <c r="S177" s="10"/>
      <c r="T177" s="10"/>
      <c r="U177" s="11"/>
      <c r="V177" s="10"/>
      <c r="W177" s="10"/>
      <c r="X177" s="10"/>
      <c r="Y177" s="10"/>
      <c r="Z177" s="10"/>
      <c r="AA177" s="10"/>
    </row>
    <row r="178" spans="1:27" x14ac:dyDescent="0.3">
      <c r="A178" s="8"/>
      <c r="B178" s="8"/>
      <c r="C178" s="10"/>
      <c r="D178" s="11"/>
      <c r="E178" s="11"/>
      <c r="F178" s="10"/>
      <c r="G178" s="11"/>
      <c r="H178" s="11"/>
      <c r="I178" s="11"/>
      <c r="J178" s="25"/>
      <c r="K178" s="12"/>
      <c r="L178" s="15"/>
      <c r="M178" s="11"/>
      <c r="N178" s="10"/>
      <c r="O178" s="12"/>
      <c r="P178" s="12"/>
      <c r="Q178" s="12"/>
      <c r="R178" s="11"/>
      <c r="S178" s="10"/>
      <c r="T178" s="10"/>
      <c r="U178" s="11"/>
      <c r="V178" s="11"/>
      <c r="W178" s="11"/>
      <c r="X178" s="10"/>
      <c r="Y178" s="10"/>
      <c r="Z178" s="10"/>
      <c r="AA178" s="10"/>
    </row>
    <row r="179" spans="1:27" x14ac:dyDescent="0.3">
      <c r="A179" s="8"/>
      <c r="B179" s="8"/>
      <c r="C179" s="10"/>
      <c r="D179" s="11"/>
      <c r="E179" s="11"/>
      <c r="F179" s="10"/>
      <c r="G179" s="11"/>
      <c r="H179" s="11"/>
      <c r="I179" s="11"/>
      <c r="J179" s="25"/>
      <c r="K179" s="12"/>
      <c r="L179" s="15"/>
      <c r="M179" s="11"/>
      <c r="N179" s="10"/>
      <c r="O179" s="12"/>
      <c r="P179" s="12"/>
      <c r="Q179" s="12"/>
      <c r="R179" s="11"/>
      <c r="S179" s="10"/>
      <c r="T179" s="10"/>
      <c r="U179" s="11"/>
      <c r="V179" s="11"/>
      <c r="W179" s="11"/>
      <c r="X179" s="10"/>
      <c r="Y179" s="10"/>
      <c r="Z179" s="10"/>
      <c r="AA179" s="10"/>
    </row>
    <row r="180" spans="1:27" x14ac:dyDescent="0.3">
      <c r="A180" s="8"/>
      <c r="B180" s="8"/>
      <c r="C180" s="10"/>
      <c r="D180" s="11"/>
      <c r="E180" s="11"/>
      <c r="F180" s="10"/>
      <c r="G180" s="11"/>
      <c r="H180" s="11"/>
      <c r="I180" s="11"/>
      <c r="J180" s="25"/>
      <c r="K180" s="12"/>
      <c r="L180" s="10"/>
      <c r="M180" s="10"/>
      <c r="N180" s="12"/>
      <c r="O180" s="12"/>
      <c r="P180" s="12"/>
      <c r="Q180" s="12"/>
      <c r="R180" s="11"/>
      <c r="S180" s="10"/>
      <c r="T180" s="10"/>
      <c r="U180" s="11"/>
      <c r="V180" s="11"/>
      <c r="W180" s="11"/>
      <c r="X180" s="10"/>
      <c r="Y180" s="10"/>
      <c r="Z180" s="10"/>
      <c r="AA180" s="10"/>
    </row>
    <row r="181" spans="1:27" x14ac:dyDescent="0.3">
      <c r="A181" s="8"/>
      <c r="B181" s="8"/>
      <c r="C181" s="10"/>
      <c r="D181" s="11"/>
      <c r="E181" s="11"/>
      <c r="F181" s="10"/>
      <c r="G181" s="11"/>
      <c r="H181" s="11"/>
      <c r="I181" s="11"/>
      <c r="J181" s="25"/>
      <c r="K181" s="12"/>
      <c r="L181" s="10"/>
      <c r="M181" s="10"/>
      <c r="N181" s="12"/>
      <c r="O181" s="12"/>
      <c r="P181" s="12"/>
      <c r="Q181" s="12"/>
      <c r="R181" s="10"/>
      <c r="S181" s="10"/>
      <c r="T181" s="10"/>
      <c r="U181" s="11"/>
      <c r="V181" s="10"/>
      <c r="W181" s="10"/>
      <c r="X181" s="10"/>
      <c r="Y181" s="10"/>
      <c r="Z181" s="10"/>
      <c r="AA181" s="10"/>
    </row>
    <row r="182" spans="1:27" x14ac:dyDescent="0.3">
      <c r="A182" s="8"/>
      <c r="B182" s="8"/>
      <c r="C182" s="10"/>
      <c r="D182" s="11"/>
      <c r="E182" s="11"/>
      <c r="F182" s="10"/>
      <c r="H182" s="11"/>
      <c r="I182" s="11"/>
      <c r="J182" s="25"/>
      <c r="K182" s="12"/>
      <c r="L182" s="31"/>
      <c r="M182" s="31"/>
      <c r="N182" s="12"/>
      <c r="O182" s="12"/>
      <c r="P182" s="12"/>
      <c r="Q182" s="12"/>
      <c r="R182" s="10"/>
      <c r="S182" s="10"/>
      <c r="T182" s="10"/>
      <c r="U182" s="11"/>
      <c r="V182" s="10"/>
      <c r="W182" s="10"/>
      <c r="X182" s="10"/>
      <c r="Y182" s="10"/>
      <c r="Z182" s="10"/>
      <c r="AA182" s="10"/>
    </row>
    <row r="183" spans="1:27" x14ac:dyDescent="0.3">
      <c r="A183" s="8"/>
      <c r="B183" s="8"/>
      <c r="C183" s="10"/>
      <c r="D183" s="11"/>
      <c r="E183" s="11"/>
      <c r="F183" s="10"/>
      <c r="G183" s="22"/>
      <c r="H183" s="11"/>
      <c r="I183" s="11"/>
      <c r="J183" s="25"/>
      <c r="K183" s="12"/>
      <c r="L183" s="15"/>
      <c r="M183" s="11"/>
      <c r="N183" s="10"/>
      <c r="O183" s="12"/>
      <c r="P183" s="12"/>
      <c r="Q183" s="12"/>
      <c r="R183" s="11"/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x14ac:dyDescent="0.3">
      <c r="A184" s="8"/>
      <c r="B184" s="8"/>
      <c r="C184" s="10"/>
      <c r="D184" s="11"/>
      <c r="E184" s="11"/>
      <c r="F184" s="10"/>
      <c r="G184" s="11"/>
      <c r="H184" s="11"/>
      <c r="I184" s="11"/>
      <c r="J184" s="25"/>
      <c r="K184" s="12"/>
      <c r="L184" s="10"/>
      <c r="M184" s="10"/>
      <c r="N184" s="12"/>
      <c r="O184" s="12"/>
      <c r="P184" s="12"/>
      <c r="Q184" s="12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x14ac:dyDescent="0.3">
      <c r="A185" s="8"/>
      <c r="D185" s="11"/>
      <c r="E185" s="11"/>
      <c r="G185" s="11"/>
      <c r="H185" s="11"/>
      <c r="I185" s="11"/>
      <c r="J185" s="11"/>
      <c r="K185" s="11"/>
      <c r="L185" s="11"/>
      <c r="M185" s="11"/>
      <c r="N185" s="10"/>
      <c r="O185" s="11"/>
      <c r="P185" s="11"/>
      <c r="Q185" s="11"/>
    </row>
    <row r="186" spans="1:27" x14ac:dyDescent="0.3">
      <c r="A186" s="8"/>
      <c r="D186" s="11"/>
      <c r="E186" s="11"/>
      <c r="G186" s="11"/>
      <c r="H186" s="11"/>
      <c r="I186" s="11"/>
      <c r="J186" s="11"/>
      <c r="K186" s="11"/>
      <c r="L186" s="11"/>
      <c r="M186" s="11"/>
      <c r="N186" s="10"/>
      <c r="O186" s="11"/>
      <c r="P186" s="11"/>
      <c r="Q186" s="11"/>
    </row>
    <row r="187" spans="1:27" x14ac:dyDescent="0.3">
      <c r="A187" s="8"/>
      <c r="D187" s="11"/>
      <c r="E187" s="11"/>
      <c r="H187" s="11"/>
      <c r="I187" s="11"/>
      <c r="J187" s="11"/>
      <c r="K187" s="11"/>
      <c r="L187" s="11"/>
      <c r="M187" s="11"/>
      <c r="N187" s="10"/>
      <c r="O187" s="11"/>
      <c r="P187" s="11"/>
      <c r="Q187" s="11"/>
    </row>
    <row r="188" spans="1:27" x14ac:dyDescent="0.3">
      <c r="A188" s="8"/>
      <c r="D188" s="11"/>
      <c r="E188" s="11"/>
      <c r="G188" s="22"/>
      <c r="H188" s="11"/>
      <c r="I188" s="11"/>
      <c r="J188" s="11"/>
      <c r="K188" s="11"/>
      <c r="L188" s="11"/>
      <c r="M188" s="11"/>
      <c r="N188" s="10"/>
      <c r="O188" s="11"/>
      <c r="P188" s="11"/>
      <c r="Q188" s="11"/>
    </row>
    <row r="189" spans="1:27" x14ac:dyDescent="0.3">
      <c r="A189" s="8"/>
      <c r="D189" s="11"/>
      <c r="E189" s="11"/>
      <c r="G189" s="22"/>
      <c r="H189" s="11"/>
      <c r="I189" s="11"/>
      <c r="J189" s="11"/>
      <c r="K189" s="11"/>
      <c r="L189" s="11"/>
      <c r="M189" s="11"/>
      <c r="N189" s="10"/>
      <c r="O189" s="11"/>
      <c r="P189" s="11"/>
      <c r="Q189" s="11"/>
    </row>
    <row r="190" spans="1:27" x14ac:dyDescent="0.3">
      <c r="A190" s="8"/>
      <c r="D190" s="11"/>
      <c r="E190" s="11"/>
      <c r="H190" s="11"/>
      <c r="I190" s="11"/>
      <c r="J190" s="11"/>
      <c r="K190" s="11"/>
      <c r="L190" s="11"/>
      <c r="M190" s="11"/>
      <c r="N190" s="10"/>
      <c r="O190" s="11"/>
      <c r="P190" s="11"/>
      <c r="Q190" s="11"/>
    </row>
    <row r="191" spans="1:27" x14ac:dyDescent="0.3">
      <c r="A191" s="8"/>
      <c r="D191" s="11"/>
      <c r="E191" s="11"/>
      <c r="G191" s="11"/>
      <c r="H191" s="11"/>
      <c r="I191" s="11"/>
      <c r="J191" s="11"/>
      <c r="K191" s="11"/>
      <c r="L191" s="11"/>
      <c r="M191" s="11"/>
      <c r="N191" s="10"/>
      <c r="O191" s="11"/>
      <c r="P191" s="11"/>
      <c r="Q191" s="11"/>
    </row>
    <row r="192" spans="1:27" x14ac:dyDescent="0.3">
      <c r="A192" s="8"/>
      <c r="D192" s="11"/>
      <c r="E192" s="11"/>
      <c r="G192" s="11"/>
      <c r="H192" s="11"/>
      <c r="I192" s="11"/>
      <c r="J192" s="11"/>
      <c r="K192" s="11"/>
      <c r="L192" s="11"/>
      <c r="M192" s="11"/>
      <c r="N192" s="10"/>
      <c r="O192" s="11"/>
      <c r="P192" s="11"/>
      <c r="Q192" s="11"/>
    </row>
    <row r="193" spans="1:17" x14ac:dyDescent="0.3">
      <c r="A193" s="8"/>
      <c r="D193" s="11"/>
      <c r="E193" s="11"/>
      <c r="G193" s="11"/>
      <c r="H193" s="11"/>
      <c r="I193" s="11"/>
      <c r="J193" s="11"/>
      <c r="K193" s="11"/>
      <c r="L193" s="11"/>
      <c r="M193" s="11"/>
      <c r="N193" s="10"/>
      <c r="O193" s="11"/>
      <c r="P193" s="11"/>
      <c r="Q193" s="11"/>
    </row>
    <row r="194" spans="1:17" x14ac:dyDescent="0.3">
      <c r="A194" s="8"/>
      <c r="D194" s="11"/>
      <c r="E194" s="11"/>
      <c r="G194" s="11"/>
      <c r="H194" s="11"/>
      <c r="I194" s="11"/>
      <c r="J194" s="11"/>
      <c r="K194" s="11"/>
      <c r="L194" s="10"/>
      <c r="M194" s="10"/>
      <c r="N194" s="11"/>
      <c r="O194" s="11"/>
      <c r="P194" s="11"/>
      <c r="Q194" s="11"/>
    </row>
    <row r="195" spans="1:17" x14ac:dyDescent="0.3">
      <c r="A195" s="8"/>
      <c r="D195" s="11"/>
      <c r="E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</row>
    <row r="196" spans="1:17" x14ac:dyDescent="0.3">
      <c r="A196" s="8"/>
      <c r="D196" s="11"/>
      <c r="E196" s="11"/>
      <c r="G196" s="11"/>
      <c r="H196" s="11"/>
      <c r="I196" s="11"/>
      <c r="J196" s="11"/>
      <c r="K196" s="11"/>
      <c r="L196" s="11"/>
      <c r="M196" s="11"/>
      <c r="N196" s="10"/>
      <c r="O196" s="11"/>
      <c r="P196" s="11"/>
      <c r="Q196" s="11"/>
    </row>
    <row r="197" spans="1:17" x14ac:dyDescent="0.3">
      <c r="A197" s="8"/>
      <c r="D197" s="11"/>
      <c r="E197" s="11"/>
      <c r="G197" s="11"/>
      <c r="H197" s="11"/>
      <c r="I197" s="11"/>
      <c r="J197" s="11"/>
      <c r="K197" s="11"/>
      <c r="L197" s="11"/>
      <c r="M197" s="11"/>
      <c r="N197" s="10"/>
      <c r="O197" s="11"/>
      <c r="P197" s="11"/>
      <c r="Q197" s="11"/>
    </row>
    <row r="198" spans="1:17" x14ac:dyDescent="0.3">
      <c r="A198" s="8"/>
      <c r="D198" s="11"/>
      <c r="E198" s="11"/>
      <c r="G198" s="11"/>
      <c r="H198" s="11"/>
      <c r="I198" s="11"/>
      <c r="J198" s="11"/>
      <c r="K198" s="11"/>
      <c r="L198" s="11"/>
      <c r="M198" s="11"/>
      <c r="N198" s="10"/>
      <c r="O198" s="11"/>
      <c r="P198" s="11"/>
      <c r="Q198" s="11"/>
    </row>
    <row r="199" spans="1:17" x14ac:dyDescent="0.3">
      <c r="A199" s="8"/>
      <c r="D199" s="11"/>
      <c r="E199" s="11"/>
      <c r="G199" s="11"/>
      <c r="H199" s="11"/>
      <c r="I199" s="11"/>
      <c r="J199" s="11"/>
      <c r="K199" s="11"/>
      <c r="L199" s="10"/>
      <c r="M199" s="10"/>
      <c r="N199" s="11"/>
      <c r="O199" s="11"/>
      <c r="P199" s="11"/>
      <c r="Q199" s="11"/>
    </row>
    <row r="200" spans="1:17" x14ac:dyDescent="0.3">
      <c r="A200" s="8"/>
      <c r="D200" s="11"/>
      <c r="E200" s="11"/>
      <c r="G200" s="11"/>
      <c r="H200" s="14"/>
      <c r="I200" s="11"/>
      <c r="J200" s="11"/>
      <c r="K200" s="11"/>
      <c r="L200" s="10"/>
      <c r="M200" s="10"/>
      <c r="N200" s="11"/>
      <c r="O200" s="11"/>
      <c r="P200" s="11"/>
      <c r="Q200" s="11"/>
    </row>
    <row r="201" spans="1:17" x14ac:dyDescent="0.3">
      <c r="A201" s="8"/>
      <c r="D201" s="11"/>
      <c r="E201" s="11"/>
      <c r="G201" s="11"/>
      <c r="H201" s="11"/>
      <c r="I201" s="11"/>
      <c r="J201" s="11"/>
      <c r="K201" s="11"/>
      <c r="L201" s="11"/>
      <c r="M201" s="11"/>
      <c r="N201" s="10"/>
      <c r="O201" s="11"/>
      <c r="P201" s="11"/>
      <c r="Q201" s="11"/>
    </row>
    <row r="202" spans="1:17" x14ac:dyDescent="0.3">
      <c r="A202" s="8"/>
      <c r="D202" s="11"/>
      <c r="E202" s="11"/>
      <c r="G202" s="11"/>
      <c r="H202" s="11"/>
      <c r="I202" s="11"/>
      <c r="J202" s="11"/>
      <c r="K202" s="11"/>
      <c r="L202" s="11"/>
      <c r="M202" s="11"/>
      <c r="N202" s="10"/>
      <c r="O202" s="11"/>
      <c r="P202" s="11"/>
      <c r="Q202" s="11"/>
    </row>
    <row r="203" spans="1:17" x14ac:dyDescent="0.3">
      <c r="A203" s="8"/>
      <c r="D203" s="11"/>
      <c r="E203" s="11"/>
      <c r="G203" s="11"/>
      <c r="H203" s="14"/>
      <c r="I203" s="11"/>
      <c r="J203" s="11"/>
      <c r="K203" s="11"/>
      <c r="L203" s="10"/>
      <c r="M203" s="10"/>
      <c r="N203" s="11"/>
      <c r="O203" s="11"/>
      <c r="P203" s="11"/>
      <c r="Q203" s="11"/>
    </row>
    <row r="204" spans="1:17" x14ac:dyDescent="0.3">
      <c r="A204" s="8"/>
      <c r="D204" s="11"/>
      <c r="E204" s="11"/>
      <c r="G204" s="11"/>
      <c r="H204" s="11"/>
      <c r="I204" s="11"/>
      <c r="J204" s="11"/>
      <c r="K204" s="11"/>
      <c r="L204" s="10"/>
      <c r="M204" s="10"/>
      <c r="N204" s="11"/>
      <c r="O204" s="11"/>
      <c r="P204" s="11"/>
      <c r="Q204" s="11"/>
    </row>
    <row r="205" spans="1:17" x14ac:dyDescent="0.3">
      <c r="A205" s="8"/>
      <c r="D205" s="11"/>
      <c r="E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</row>
    <row r="206" spans="1:17" x14ac:dyDescent="0.3">
      <c r="A206" s="8"/>
      <c r="D206" s="11"/>
      <c r="E206" s="11"/>
      <c r="H206" s="11"/>
      <c r="I206" s="11"/>
      <c r="J206" s="11"/>
      <c r="K206" s="11"/>
      <c r="L206" s="11"/>
      <c r="M206" s="11"/>
      <c r="N206" s="10"/>
      <c r="O206" s="11"/>
      <c r="P206" s="11"/>
      <c r="Q206" s="11"/>
    </row>
    <row r="207" spans="1:17" x14ac:dyDescent="0.3">
      <c r="A207" s="8"/>
      <c r="D207" s="11"/>
      <c r="E207" s="11"/>
      <c r="G207" s="22"/>
      <c r="H207" s="11"/>
      <c r="I207" s="11"/>
      <c r="J207" s="11"/>
      <c r="K207" s="11"/>
      <c r="L207" s="11"/>
      <c r="M207" s="11"/>
      <c r="N207" s="10"/>
      <c r="O207" s="11"/>
      <c r="P207" s="11"/>
      <c r="Q207" s="11"/>
    </row>
    <row r="208" spans="1:17" x14ac:dyDescent="0.3">
      <c r="A208" s="8"/>
      <c r="D208" s="11"/>
      <c r="E208" s="11"/>
      <c r="G208" s="11"/>
      <c r="H208" s="11"/>
      <c r="I208" s="11"/>
      <c r="J208" s="11"/>
      <c r="K208" s="11"/>
      <c r="L208" s="11"/>
      <c r="M208" s="11"/>
      <c r="N208" s="10"/>
      <c r="O208" s="11"/>
      <c r="P208" s="11"/>
      <c r="Q208" s="11"/>
    </row>
    <row r="209" spans="1:17" x14ac:dyDescent="0.3">
      <c r="A209" s="8"/>
      <c r="D209" s="11"/>
      <c r="E209" s="11"/>
      <c r="G209" s="11"/>
      <c r="H209" s="11"/>
      <c r="I209" s="11"/>
      <c r="J209" s="11"/>
      <c r="K209" s="11"/>
      <c r="L209" s="11"/>
      <c r="M209" s="11"/>
      <c r="N209" s="10"/>
      <c r="O209" s="11"/>
      <c r="P209" s="11"/>
      <c r="Q209" s="11"/>
    </row>
    <row r="210" spans="1:17" x14ac:dyDescent="0.3">
      <c r="A210" s="8"/>
      <c r="D210" s="11"/>
      <c r="E210" s="11"/>
      <c r="G210" s="11"/>
      <c r="H210" s="11"/>
      <c r="I210" s="11"/>
      <c r="J210" s="11"/>
      <c r="K210" s="11"/>
      <c r="L210" s="11"/>
      <c r="M210" s="11"/>
      <c r="N210" s="10"/>
      <c r="O210" s="11"/>
      <c r="P210" s="11"/>
      <c r="Q210" s="11"/>
    </row>
    <row r="211" spans="1:17" x14ac:dyDescent="0.3">
      <c r="A211" s="8"/>
      <c r="D211" s="11"/>
      <c r="E211" s="11"/>
      <c r="G211" s="11"/>
      <c r="H211" s="11"/>
      <c r="I211" s="11"/>
      <c r="J211" s="11"/>
      <c r="K211" s="11"/>
      <c r="L211" s="11"/>
      <c r="M211" s="11"/>
      <c r="N211" s="10"/>
      <c r="O211" s="11"/>
      <c r="P211" s="11"/>
      <c r="Q211" s="11"/>
    </row>
    <row r="212" spans="1:17" x14ac:dyDescent="0.3">
      <c r="A212" s="8"/>
      <c r="D212" s="11"/>
      <c r="E212" s="11"/>
      <c r="H212" s="11"/>
      <c r="I212" s="11"/>
      <c r="J212" s="11"/>
      <c r="K212" s="11"/>
      <c r="L212" s="11"/>
      <c r="M212" s="11"/>
      <c r="N212" s="10"/>
      <c r="O212" s="11"/>
      <c r="P212" s="11"/>
      <c r="Q212" s="11"/>
    </row>
    <row r="213" spans="1:17" x14ac:dyDescent="0.3">
      <c r="A213" s="8"/>
      <c r="D213" s="11"/>
      <c r="E213" s="11"/>
      <c r="H213" s="11"/>
      <c r="I213" s="11"/>
      <c r="J213" s="11"/>
      <c r="K213" s="11"/>
      <c r="L213" s="11"/>
      <c r="M213" s="11"/>
      <c r="N213" s="10"/>
      <c r="O213" s="11"/>
      <c r="P213" s="11"/>
      <c r="Q213" s="11"/>
    </row>
    <row r="214" spans="1:17" x14ac:dyDescent="0.3">
      <c r="A214" s="8"/>
      <c r="D214" s="11"/>
      <c r="E214" s="11"/>
      <c r="G214" s="11"/>
      <c r="H214" s="11"/>
      <c r="I214" s="11"/>
      <c r="J214" s="11"/>
      <c r="K214" s="11"/>
      <c r="L214" s="11"/>
      <c r="M214" s="11"/>
      <c r="N214" s="10"/>
      <c r="O214" s="11"/>
      <c r="P214" s="11"/>
      <c r="Q214" s="11"/>
    </row>
    <row r="215" spans="1:17" x14ac:dyDescent="0.3">
      <c r="A215" s="8"/>
      <c r="D215" s="11"/>
      <c r="E215" s="11"/>
      <c r="G215" s="11"/>
      <c r="H215" s="11"/>
      <c r="I215" s="11"/>
      <c r="J215" s="11"/>
      <c r="K215" s="11"/>
      <c r="L215" s="11"/>
      <c r="M215" s="11"/>
      <c r="N215" s="10"/>
      <c r="O215" s="10"/>
      <c r="P215" s="11"/>
      <c r="Q215" s="11"/>
    </row>
    <row r="216" spans="1:17" x14ac:dyDescent="0.3">
      <c r="A216" s="8"/>
      <c r="D216" s="11"/>
      <c r="E216" s="11"/>
      <c r="G216" s="11"/>
      <c r="H216" s="11"/>
      <c r="I216" s="11"/>
      <c r="J216" s="11"/>
      <c r="K216" s="11"/>
      <c r="L216" s="11"/>
      <c r="M216" s="11"/>
      <c r="N216" s="10"/>
      <c r="O216" s="11"/>
      <c r="P216" s="11"/>
      <c r="Q216" s="11"/>
    </row>
    <row r="217" spans="1:17" x14ac:dyDescent="0.3">
      <c r="A217" s="8"/>
      <c r="D217" s="11"/>
      <c r="E217" s="11"/>
      <c r="G217" s="11"/>
      <c r="H217" s="11"/>
      <c r="I217" s="11"/>
      <c r="J217" s="11"/>
      <c r="K217" s="11"/>
      <c r="L217" s="11"/>
      <c r="M217" s="11"/>
      <c r="N217" s="10"/>
      <c r="O217" s="11"/>
      <c r="P217" s="11"/>
      <c r="Q217" s="11"/>
    </row>
    <row r="218" spans="1:17" x14ac:dyDescent="0.3">
      <c r="A218" s="8"/>
      <c r="D218" s="11"/>
      <c r="E218" s="11"/>
      <c r="G218" s="11"/>
      <c r="H218" s="14"/>
      <c r="I218" s="11"/>
      <c r="J218" s="11"/>
      <c r="K218" s="11"/>
      <c r="L218" s="10"/>
      <c r="M218" s="10"/>
      <c r="N218" s="11"/>
      <c r="O218" s="11"/>
      <c r="P218" s="11"/>
      <c r="Q218" s="11"/>
    </row>
    <row r="219" spans="1:17" x14ac:dyDescent="0.3">
      <c r="A219" s="8"/>
      <c r="D219" s="11"/>
      <c r="E219" s="11"/>
      <c r="G219" s="11"/>
      <c r="H219" s="14"/>
      <c r="I219" s="11"/>
      <c r="J219" s="11"/>
      <c r="K219" s="11"/>
      <c r="L219" s="10"/>
      <c r="M219" s="10"/>
      <c r="N219" s="11"/>
      <c r="O219" s="11"/>
      <c r="P219" s="11"/>
      <c r="Q219" s="11"/>
    </row>
    <row r="220" spans="1:17" x14ac:dyDescent="0.3">
      <c r="A220" s="8"/>
      <c r="D220" s="11"/>
      <c r="E220" s="11"/>
      <c r="G220" s="11"/>
      <c r="H220" s="11"/>
      <c r="I220" s="11"/>
      <c r="J220" s="11"/>
      <c r="K220" s="11"/>
      <c r="L220" s="11"/>
      <c r="M220" s="11"/>
      <c r="N220" s="10"/>
      <c r="O220" s="11"/>
      <c r="P220" s="11"/>
      <c r="Q220" s="11"/>
    </row>
    <row r="221" spans="1:17" x14ac:dyDescent="0.3">
      <c r="A221" s="8"/>
      <c r="D221" s="11"/>
      <c r="E221" s="11"/>
      <c r="G221" s="11"/>
      <c r="H221" s="14"/>
      <c r="I221" s="11"/>
      <c r="J221" s="11"/>
      <c r="K221" s="11"/>
      <c r="L221" s="10"/>
      <c r="M221" s="10"/>
      <c r="N221" s="11"/>
      <c r="O221" s="11"/>
      <c r="P221" s="11"/>
      <c r="Q221" s="11"/>
    </row>
    <row r="222" spans="1:17" x14ac:dyDescent="0.3">
      <c r="A222" s="8"/>
      <c r="D222" s="11"/>
      <c r="E222" s="11"/>
      <c r="G222" s="11"/>
      <c r="H222" s="11"/>
      <c r="I222" s="11"/>
      <c r="J222" s="11"/>
      <c r="K222" s="11"/>
      <c r="L222" s="10"/>
      <c r="M222" s="10"/>
      <c r="N222" s="11"/>
      <c r="O222" s="11"/>
      <c r="P222" s="11"/>
      <c r="Q222" s="11"/>
    </row>
    <row r="223" spans="1:17" x14ac:dyDescent="0.3">
      <c r="A223" s="8"/>
      <c r="D223" s="11"/>
      <c r="E223" s="11"/>
      <c r="G223" s="11"/>
      <c r="H223" s="11"/>
      <c r="I223" s="11"/>
      <c r="J223" s="11"/>
      <c r="K223" s="11"/>
      <c r="L223" s="11"/>
      <c r="M223" s="11"/>
      <c r="N223" s="10"/>
      <c r="O223" s="11"/>
      <c r="P223" s="11"/>
      <c r="Q223" s="11"/>
    </row>
    <row r="224" spans="1:17" x14ac:dyDescent="0.3">
      <c r="A224" s="8"/>
      <c r="D224" s="11"/>
      <c r="E224" s="11"/>
      <c r="G224" s="11"/>
      <c r="H224" s="11"/>
      <c r="I224" s="11"/>
      <c r="J224" s="11"/>
      <c r="K224" s="11"/>
      <c r="L224" s="11"/>
      <c r="M224" s="11"/>
      <c r="N224" s="10"/>
      <c r="O224" s="11"/>
      <c r="P224" s="11"/>
      <c r="Q224" s="11"/>
    </row>
    <row r="225" spans="1:17" x14ac:dyDescent="0.3">
      <c r="A225" s="8"/>
      <c r="D225" s="11"/>
      <c r="E225" s="11"/>
      <c r="G225" s="11"/>
      <c r="H225" s="11"/>
      <c r="I225" s="11"/>
      <c r="J225" s="11"/>
      <c r="K225" s="11"/>
      <c r="L225" s="11"/>
      <c r="M225" s="11"/>
      <c r="N225" s="10"/>
      <c r="O225" s="11"/>
      <c r="P225" s="11"/>
      <c r="Q225" s="11"/>
    </row>
    <row r="226" spans="1:17" x14ac:dyDescent="0.3">
      <c r="A226" s="8"/>
      <c r="D226" s="11"/>
      <c r="E226" s="11"/>
      <c r="G226" s="11"/>
      <c r="H226" s="14"/>
      <c r="I226" s="11"/>
      <c r="J226" s="11"/>
      <c r="K226" s="11"/>
      <c r="L226" s="10"/>
      <c r="M226" s="10"/>
      <c r="N226" s="11"/>
      <c r="O226" s="11"/>
      <c r="P226" s="11"/>
      <c r="Q226" s="11"/>
    </row>
    <row r="227" spans="1:17" x14ac:dyDescent="0.3">
      <c r="A227" s="8"/>
      <c r="D227" s="11"/>
      <c r="E227" s="11"/>
      <c r="G227" s="11"/>
      <c r="H227" s="11"/>
      <c r="I227" s="11"/>
      <c r="J227" s="11"/>
      <c r="K227" s="11"/>
      <c r="L227" s="11"/>
      <c r="M227" s="11"/>
      <c r="N227" s="10"/>
      <c r="O227" s="11"/>
      <c r="P227" s="11"/>
      <c r="Q227" s="11"/>
    </row>
    <row r="228" spans="1:17" x14ac:dyDescent="0.3">
      <c r="A228" s="8"/>
      <c r="D228" s="11"/>
      <c r="E228" s="11"/>
      <c r="G228" s="11"/>
      <c r="H228" s="14"/>
      <c r="I228" s="11"/>
      <c r="J228" s="11"/>
      <c r="K228" s="11"/>
      <c r="L228" s="10"/>
      <c r="M228" s="10"/>
      <c r="N228" s="11"/>
      <c r="O228" s="11"/>
      <c r="P228" s="11"/>
      <c r="Q228" s="11"/>
    </row>
    <row r="229" spans="1:17" x14ac:dyDescent="0.3">
      <c r="A229" s="8"/>
      <c r="D229" s="11"/>
      <c r="E229" s="11"/>
      <c r="G229" s="11"/>
      <c r="H229" s="11"/>
      <c r="I229" s="11"/>
      <c r="J229" s="11"/>
      <c r="K229" s="11"/>
      <c r="L229" s="11"/>
      <c r="M229" s="11"/>
      <c r="N229" s="10"/>
      <c r="O229" s="11"/>
      <c r="P229" s="11"/>
      <c r="Q229" s="11"/>
    </row>
    <row r="230" spans="1:17" x14ac:dyDescent="0.3">
      <c r="A230" s="8"/>
      <c r="D230" s="11"/>
      <c r="E230" s="11"/>
      <c r="G230" s="11"/>
      <c r="H230" s="11"/>
      <c r="I230" s="11"/>
      <c r="J230" s="11"/>
      <c r="K230" s="11"/>
      <c r="L230" s="10"/>
      <c r="M230" s="10"/>
      <c r="N230" s="11"/>
      <c r="O230" s="11"/>
      <c r="P230" s="11"/>
      <c r="Q230" s="11"/>
    </row>
    <row r="231" spans="1:17" x14ac:dyDescent="0.3">
      <c r="A231" s="8"/>
      <c r="D231" s="11"/>
      <c r="E231" s="11"/>
      <c r="G231" s="11"/>
      <c r="H231" s="11"/>
      <c r="I231" s="11"/>
      <c r="J231" s="11"/>
      <c r="K231" s="11"/>
      <c r="L231" s="10"/>
      <c r="M231" s="10"/>
      <c r="N231" s="11"/>
      <c r="O231" s="11"/>
      <c r="P231" s="11"/>
      <c r="Q231" s="11"/>
    </row>
    <row r="232" spans="1:17" x14ac:dyDescent="0.3">
      <c r="A232" s="8"/>
      <c r="D232" s="11"/>
      <c r="E232" s="11"/>
      <c r="G232" s="11"/>
      <c r="H232" s="11"/>
      <c r="I232" s="11"/>
      <c r="J232" s="11"/>
      <c r="K232" s="11"/>
      <c r="L232" s="11"/>
      <c r="M232" s="11"/>
      <c r="N232" s="10"/>
      <c r="O232" s="11"/>
      <c r="P232" s="11"/>
      <c r="Q232" s="11"/>
    </row>
    <row r="233" spans="1:17" x14ac:dyDescent="0.3">
      <c r="A233" s="8"/>
      <c r="D233" s="11"/>
      <c r="E233" s="11"/>
      <c r="G233" s="11"/>
      <c r="H233" s="11"/>
      <c r="I233" s="11"/>
      <c r="J233" s="11"/>
      <c r="K233" s="11"/>
      <c r="L233" s="10"/>
      <c r="M233" s="10"/>
      <c r="N233" s="11"/>
      <c r="O233" s="11"/>
      <c r="P233" s="11"/>
      <c r="Q233" s="11"/>
    </row>
    <row r="234" spans="1:17" x14ac:dyDescent="0.3">
      <c r="A234" s="8"/>
      <c r="D234" s="11"/>
      <c r="E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</row>
    <row r="235" spans="1:17" x14ac:dyDescent="0.3">
      <c r="A235" s="8"/>
      <c r="D235" s="11"/>
      <c r="E235" s="11"/>
      <c r="G235" s="11"/>
      <c r="H235" s="11"/>
      <c r="I235" s="11"/>
      <c r="J235" s="11"/>
      <c r="K235" s="11"/>
      <c r="L235" s="11"/>
      <c r="M235" s="11"/>
      <c r="N235" s="10"/>
      <c r="O235" s="11"/>
      <c r="P235" s="11"/>
      <c r="Q235" s="11"/>
    </row>
    <row r="236" spans="1:17" x14ac:dyDescent="0.3">
      <c r="A236" s="8"/>
      <c r="D236" s="11"/>
      <c r="E236" s="11"/>
      <c r="G236" s="11"/>
      <c r="H236" s="11"/>
      <c r="I236" s="11"/>
      <c r="J236" s="11"/>
      <c r="K236" s="11"/>
      <c r="L236" s="10"/>
      <c r="M236" s="10"/>
      <c r="N236" s="11"/>
      <c r="O236" s="11"/>
      <c r="P236" s="11"/>
      <c r="Q236" s="11"/>
    </row>
    <row r="237" spans="1:17" x14ac:dyDescent="0.3">
      <c r="A237" s="8"/>
      <c r="D237" s="11"/>
      <c r="E237" s="11"/>
      <c r="G237" s="11"/>
      <c r="H237" s="11"/>
      <c r="I237" s="11"/>
      <c r="J237" s="11"/>
      <c r="K237" s="11"/>
      <c r="L237" s="10"/>
      <c r="M237" s="10"/>
      <c r="N237" s="11"/>
      <c r="O237" s="11"/>
      <c r="P237" s="11"/>
      <c r="Q237" s="11"/>
    </row>
    <row r="238" spans="1:17" x14ac:dyDescent="0.3">
      <c r="A238" s="8"/>
      <c r="D238" s="11"/>
      <c r="E238" s="11"/>
      <c r="G238" s="11"/>
      <c r="H238" s="11"/>
      <c r="I238" s="11"/>
      <c r="J238" s="11"/>
      <c r="K238" s="11"/>
      <c r="L238" s="10"/>
      <c r="M238" s="11"/>
      <c r="N238" s="11"/>
      <c r="O238" s="11"/>
      <c r="P238" s="11"/>
      <c r="Q238" s="11"/>
    </row>
    <row r="239" spans="1:17" x14ac:dyDescent="0.3">
      <c r="A239" s="8"/>
      <c r="D239" s="11"/>
      <c r="E239" s="11"/>
      <c r="G239" s="11"/>
      <c r="H239" s="11"/>
      <c r="I239" s="11"/>
      <c r="J239" s="11"/>
      <c r="K239" s="11"/>
      <c r="L239" s="10"/>
      <c r="M239" s="11"/>
      <c r="N239" s="10"/>
      <c r="O239" s="11"/>
      <c r="P239" s="11"/>
      <c r="Q239" s="11"/>
    </row>
    <row r="240" spans="1:17" x14ac:dyDescent="0.3">
      <c r="A240" s="8"/>
      <c r="D240" s="11"/>
      <c r="E240" s="11"/>
      <c r="G240" s="11"/>
      <c r="H240" s="11"/>
      <c r="I240" s="11"/>
      <c r="J240" s="11"/>
      <c r="K240" s="11"/>
      <c r="L240" s="10"/>
      <c r="M240" s="11"/>
      <c r="N240" s="10"/>
      <c r="O240" s="11"/>
      <c r="P240" s="11"/>
      <c r="Q240" s="11"/>
    </row>
    <row r="241" spans="1:17" x14ac:dyDescent="0.3">
      <c r="A241" s="8"/>
      <c r="D241" s="11"/>
      <c r="E241" s="11"/>
      <c r="G241" s="11"/>
      <c r="H241" s="11"/>
      <c r="I241" s="11"/>
      <c r="J241" s="11"/>
      <c r="K241" s="11"/>
      <c r="L241" s="10"/>
      <c r="M241" s="10"/>
      <c r="N241" s="11"/>
      <c r="O241" s="11"/>
      <c r="P241" s="11"/>
      <c r="Q241" s="11"/>
    </row>
    <row r="242" spans="1:17" x14ac:dyDescent="0.3">
      <c r="A242" s="8"/>
      <c r="D242" s="11"/>
      <c r="E242" s="11"/>
      <c r="G242" s="11"/>
      <c r="H242" s="11"/>
      <c r="I242" s="11"/>
      <c r="J242" s="11"/>
      <c r="K242" s="11"/>
      <c r="L242" s="11"/>
      <c r="M242" s="11"/>
      <c r="N242" s="10"/>
      <c r="O242" s="11"/>
      <c r="P242" s="11"/>
      <c r="Q242" s="11"/>
    </row>
    <row r="243" spans="1:17" x14ac:dyDescent="0.3">
      <c r="A243" s="8"/>
      <c r="D243" s="11"/>
      <c r="E243" s="11"/>
      <c r="G243" s="11"/>
      <c r="H243" s="11"/>
      <c r="I243" s="11"/>
      <c r="J243" s="11"/>
      <c r="K243" s="11"/>
      <c r="L243" s="11"/>
      <c r="M243" s="11"/>
      <c r="N243" s="10"/>
      <c r="O243" s="11"/>
      <c r="P243" s="11"/>
      <c r="Q243" s="11"/>
    </row>
    <row r="244" spans="1:17" x14ac:dyDescent="0.3">
      <c r="A244" s="8"/>
      <c r="D244" s="11"/>
      <c r="E244" s="11"/>
      <c r="G244" s="11"/>
      <c r="H244" s="11"/>
      <c r="I244" s="11"/>
      <c r="J244" s="11"/>
      <c r="K244" s="11"/>
      <c r="L244" s="11"/>
      <c r="M244" s="11"/>
      <c r="N244" s="10"/>
      <c r="O244" s="11"/>
      <c r="P244" s="11"/>
      <c r="Q244" s="11"/>
    </row>
    <row r="245" spans="1:17" x14ac:dyDescent="0.3">
      <c r="A245" s="8"/>
      <c r="D245" s="11"/>
      <c r="E245" s="11"/>
      <c r="G245" s="11"/>
      <c r="H245" s="11"/>
      <c r="I245" s="11"/>
      <c r="J245" s="11"/>
      <c r="K245" s="11"/>
      <c r="L245" s="10"/>
      <c r="M245" s="10"/>
      <c r="N245" s="11"/>
      <c r="O245" s="11"/>
      <c r="P245" s="11"/>
      <c r="Q245" s="11"/>
    </row>
    <row r="246" spans="1:17" x14ac:dyDescent="0.3">
      <c r="A246" s="8"/>
      <c r="D246" s="11"/>
      <c r="E246" s="11"/>
      <c r="H246" s="11"/>
      <c r="I246" s="11"/>
      <c r="J246" s="11"/>
      <c r="K246" s="11"/>
      <c r="L246" s="11"/>
      <c r="M246" s="11"/>
      <c r="N246" s="10"/>
      <c r="O246" s="11"/>
      <c r="P246" s="11"/>
      <c r="Q246" s="11"/>
    </row>
    <row r="247" spans="1:17" x14ac:dyDescent="0.3">
      <c r="A247" s="8"/>
      <c r="D247" s="11"/>
      <c r="E247" s="11"/>
      <c r="G247" s="11"/>
      <c r="H247" s="11"/>
      <c r="I247" s="11"/>
      <c r="J247" s="11"/>
      <c r="K247" s="11"/>
      <c r="L247" s="11"/>
      <c r="M247" s="11"/>
      <c r="N247" s="10"/>
      <c r="O247" s="11"/>
      <c r="P247" s="11"/>
      <c r="Q247" s="11"/>
    </row>
    <row r="248" spans="1:17" x14ac:dyDescent="0.3">
      <c r="A248" s="8"/>
      <c r="D248" s="11"/>
      <c r="E248" s="11"/>
      <c r="G248" s="11"/>
      <c r="H248" s="11"/>
      <c r="I248" s="11"/>
      <c r="J248" s="11"/>
      <c r="K248" s="11"/>
      <c r="L248" s="10"/>
      <c r="M248" s="10"/>
      <c r="N248" s="11"/>
      <c r="O248" s="11"/>
      <c r="P248" s="11"/>
      <c r="Q248" s="11"/>
    </row>
    <row r="249" spans="1:17" x14ac:dyDescent="0.3">
      <c r="A249" s="8"/>
      <c r="D249" s="11"/>
      <c r="E249" s="11"/>
      <c r="G249" s="11"/>
      <c r="H249" s="11"/>
      <c r="I249" s="11"/>
      <c r="J249" s="11"/>
      <c r="K249" s="11"/>
      <c r="L249" s="11"/>
      <c r="M249" s="11"/>
      <c r="N249" s="10"/>
      <c r="O249" s="11"/>
      <c r="P249" s="11"/>
      <c r="Q249" s="11"/>
    </row>
    <row r="250" spans="1:17" x14ac:dyDescent="0.3">
      <c r="A250" s="8"/>
      <c r="D250" s="11"/>
      <c r="E250" s="11"/>
      <c r="G250" s="11"/>
      <c r="H250" s="11"/>
      <c r="I250" s="11"/>
      <c r="J250" s="11"/>
      <c r="K250" s="11"/>
      <c r="L250" s="11"/>
      <c r="M250" s="11"/>
      <c r="N250" s="10"/>
      <c r="O250" s="11"/>
      <c r="P250" s="11"/>
      <c r="Q250" s="11"/>
    </row>
    <row r="251" spans="1:17" x14ac:dyDescent="0.3">
      <c r="A251" s="8"/>
      <c r="D251" s="11"/>
      <c r="E251" s="11"/>
      <c r="G251" s="11"/>
      <c r="H251" s="11"/>
      <c r="I251" s="11"/>
      <c r="J251" s="11"/>
      <c r="K251" s="11"/>
      <c r="L251" s="11"/>
      <c r="M251" s="11"/>
      <c r="N251" s="10"/>
      <c r="O251" s="11"/>
      <c r="P251" s="11"/>
      <c r="Q251" s="11"/>
    </row>
    <row r="252" spans="1:17" x14ac:dyDescent="0.3">
      <c r="A252" s="8"/>
      <c r="D252" s="11"/>
      <c r="E252" s="11"/>
      <c r="G252" s="11"/>
      <c r="H252" s="11"/>
      <c r="I252" s="11"/>
      <c r="J252" s="11"/>
      <c r="K252" s="11"/>
      <c r="L252" s="11"/>
      <c r="M252" s="11"/>
      <c r="N252" s="10"/>
      <c r="O252" s="11"/>
      <c r="P252" s="11"/>
      <c r="Q252" s="11"/>
    </row>
    <row r="253" spans="1:17" x14ac:dyDescent="0.3">
      <c r="A253" s="8"/>
      <c r="D253" s="11"/>
      <c r="E253" s="11"/>
      <c r="G253" s="11"/>
      <c r="H253" s="11"/>
      <c r="I253" s="11"/>
      <c r="J253" s="11"/>
      <c r="K253" s="11"/>
      <c r="L253" s="11"/>
      <c r="M253" s="11"/>
      <c r="N253" s="10"/>
      <c r="O253" s="11"/>
      <c r="P253" s="11"/>
      <c r="Q253" s="11"/>
    </row>
    <row r="254" spans="1:17" x14ac:dyDescent="0.3">
      <c r="A254" s="9"/>
      <c r="D254" s="13"/>
      <c r="E254" s="13"/>
      <c r="G254" s="11"/>
      <c r="H254" s="13"/>
      <c r="I254" s="13"/>
      <c r="J254" s="13"/>
      <c r="K254" s="13"/>
      <c r="L254" s="13"/>
      <c r="M254" s="13"/>
      <c r="N254" s="10"/>
      <c r="O254" s="13"/>
      <c r="P254" s="13"/>
      <c r="Q254" s="13"/>
    </row>
    <row r="255" spans="1:17" x14ac:dyDescent="0.3">
      <c r="A255" s="8"/>
      <c r="D255" s="11"/>
      <c r="E255" s="11"/>
      <c r="G255" s="11"/>
      <c r="H255" s="11"/>
      <c r="I255" s="11"/>
      <c r="J255" s="11"/>
      <c r="K255" s="11"/>
      <c r="L255" s="10"/>
      <c r="M255" s="10"/>
      <c r="N255" s="11"/>
      <c r="O255" s="11"/>
      <c r="P255" s="11"/>
      <c r="Q255" s="11"/>
    </row>
    <row r="256" spans="1:17" x14ac:dyDescent="0.3">
      <c r="A256" s="8"/>
      <c r="D256" s="11"/>
      <c r="E256" s="11"/>
      <c r="G256" s="11"/>
      <c r="H256" s="11"/>
      <c r="I256" s="11"/>
      <c r="J256" s="11"/>
      <c r="K256" s="11"/>
      <c r="L256" s="11"/>
      <c r="M256" s="11"/>
      <c r="N256" s="10"/>
      <c r="O256" s="11"/>
      <c r="P256" s="11"/>
      <c r="Q256" s="11"/>
    </row>
    <row r="257" spans="1:17" x14ac:dyDescent="0.3">
      <c r="A257" s="8"/>
      <c r="D257" s="11"/>
      <c r="E257" s="11"/>
      <c r="H257" s="11"/>
      <c r="I257" s="11"/>
      <c r="J257" s="11"/>
      <c r="K257" s="11"/>
      <c r="L257" s="11"/>
      <c r="M257" s="11"/>
      <c r="N257" s="10"/>
      <c r="O257" s="11"/>
      <c r="P257" s="11"/>
      <c r="Q257" s="11"/>
    </row>
    <row r="258" spans="1:17" x14ac:dyDescent="0.3">
      <c r="A258" s="8"/>
      <c r="D258" s="11"/>
      <c r="E258" s="11"/>
      <c r="G258" s="11"/>
      <c r="H258" s="11"/>
      <c r="I258" s="11"/>
      <c r="J258" s="11"/>
      <c r="K258" s="11"/>
      <c r="L258" s="10"/>
      <c r="M258" s="10"/>
      <c r="N258" s="11"/>
      <c r="O258" s="11"/>
      <c r="P258" s="11"/>
      <c r="Q258" s="11"/>
    </row>
    <row r="259" spans="1:17" x14ac:dyDescent="0.3">
      <c r="A259" s="8"/>
      <c r="D259" s="11"/>
      <c r="E259" s="11"/>
      <c r="H259" s="11"/>
      <c r="I259" s="11"/>
      <c r="J259" s="11"/>
      <c r="K259" s="11"/>
      <c r="L259" s="11"/>
      <c r="M259" s="11"/>
      <c r="N259" s="10"/>
      <c r="O259" s="11"/>
      <c r="P259" s="11"/>
      <c r="Q259" s="11"/>
    </row>
    <row r="260" spans="1:17" x14ac:dyDescent="0.3">
      <c r="A260" s="8"/>
      <c r="D260" s="11"/>
      <c r="E260" s="11"/>
      <c r="G260" s="11"/>
      <c r="H260" s="11"/>
      <c r="I260" s="11"/>
      <c r="J260" s="11"/>
      <c r="K260" s="11"/>
      <c r="L260" s="11"/>
      <c r="M260" s="11"/>
      <c r="N260" s="10"/>
      <c r="O260" s="11"/>
      <c r="P260" s="11"/>
      <c r="Q260" s="11"/>
    </row>
    <row r="261" spans="1:17" x14ac:dyDescent="0.3">
      <c r="A261" s="8"/>
      <c r="D261" s="11"/>
      <c r="E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</row>
    <row r="262" spans="1:17" x14ac:dyDescent="0.3">
      <c r="A262" s="8"/>
      <c r="D262" s="11"/>
      <c r="E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</row>
    <row r="263" spans="1:17" x14ac:dyDescent="0.3">
      <c r="A263" s="8"/>
      <c r="D263" s="11"/>
      <c r="E263" s="11"/>
      <c r="G263" s="11"/>
      <c r="H263" s="11"/>
      <c r="I263" s="11"/>
      <c r="J263" s="11"/>
      <c r="K263" s="11"/>
      <c r="L263" s="11"/>
      <c r="M263" s="11"/>
      <c r="N263" s="10"/>
      <c r="O263" s="10"/>
      <c r="P263" s="11"/>
      <c r="Q263" s="11"/>
    </row>
    <row r="264" spans="1:17" x14ac:dyDescent="0.3">
      <c r="A264" s="8"/>
      <c r="D264" s="11"/>
      <c r="E264" s="11"/>
      <c r="G264" s="11"/>
      <c r="H264" s="11"/>
      <c r="I264" s="11"/>
      <c r="J264" s="11"/>
      <c r="K264" s="11"/>
      <c r="L264" s="11"/>
      <c r="M264" s="11"/>
      <c r="N264" s="10"/>
      <c r="O264" s="11"/>
      <c r="P264" s="11"/>
      <c r="Q264" s="11"/>
    </row>
    <row r="265" spans="1:17" x14ac:dyDescent="0.3">
      <c r="A265" s="8"/>
      <c r="D265" s="11"/>
      <c r="E265" s="11"/>
      <c r="G265" s="11"/>
      <c r="H265" s="11"/>
      <c r="I265" s="11"/>
      <c r="J265" s="11"/>
      <c r="K265" s="11"/>
      <c r="L265" s="10"/>
      <c r="M265" s="10"/>
      <c r="N265" s="11"/>
      <c r="O265" s="11"/>
      <c r="P265" s="11"/>
      <c r="Q265" s="11"/>
    </row>
    <row r="266" spans="1:17" x14ac:dyDescent="0.3">
      <c r="A266" s="8"/>
      <c r="D266" s="11"/>
      <c r="E266" s="11"/>
      <c r="G266" s="11"/>
      <c r="H266" s="11"/>
      <c r="I266" s="11"/>
      <c r="J266" s="11"/>
      <c r="K266" s="11"/>
      <c r="L266" s="11"/>
      <c r="M266" s="11"/>
      <c r="N266" s="10"/>
      <c r="O266" s="11"/>
      <c r="P266" s="11"/>
      <c r="Q266" s="11"/>
    </row>
    <row r="267" spans="1:17" x14ac:dyDescent="0.3">
      <c r="A267" s="8"/>
      <c r="D267" s="11"/>
      <c r="E267" s="11"/>
      <c r="G267" s="11"/>
      <c r="H267" s="11"/>
      <c r="I267" s="11"/>
      <c r="J267" s="11"/>
      <c r="K267" s="11"/>
      <c r="L267" s="10"/>
      <c r="M267" s="10"/>
      <c r="N267" s="11"/>
      <c r="O267" s="11"/>
      <c r="P267" s="11"/>
      <c r="Q267" s="11"/>
    </row>
    <row r="268" spans="1:17" x14ac:dyDescent="0.3">
      <c r="A268" s="8"/>
      <c r="D268" s="11"/>
      <c r="E268" s="11"/>
      <c r="G268" s="11"/>
      <c r="H268" s="11"/>
      <c r="I268" s="11"/>
      <c r="J268" s="11"/>
      <c r="K268" s="11"/>
      <c r="L268" s="10"/>
      <c r="M268" s="10"/>
      <c r="N268" s="11"/>
      <c r="O268" s="11"/>
      <c r="P268" s="11"/>
      <c r="Q268" s="11"/>
    </row>
    <row r="269" spans="1:17" x14ac:dyDescent="0.3">
      <c r="A269" s="8"/>
      <c r="D269" s="11"/>
      <c r="E269" s="11"/>
      <c r="G269" s="11"/>
      <c r="H269" s="11"/>
      <c r="I269" s="11"/>
      <c r="J269" s="11"/>
      <c r="K269" s="11"/>
      <c r="L269" s="10"/>
      <c r="M269" s="10"/>
      <c r="N269" s="11"/>
      <c r="O269" s="11"/>
      <c r="P269" s="11"/>
      <c r="Q269" s="11"/>
    </row>
    <row r="270" spans="1:17" x14ac:dyDescent="0.3">
      <c r="A270" s="8"/>
      <c r="D270" s="11"/>
      <c r="E270" s="11"/>
      <c r="G270" s="11"/>
      <c r="H270" s="11"/>
      <c r="I270" s="11"/>
      <c r="J270" s="11"/>
      <c r="K270" s="11"/>
      <c r="L270" s="11"/>
      <c r="M270" s="11"/>
      <c r="N270" s="10"/>
      <c r="O270" s="11"/>
      <c r="P270" s="11"/>
      <c r="Q270" s="11"/>
    </row>
    <row r="271" spans="1:17" x14ac:dyDescent="0.3">
      <c r="A271" s="8"/>
      <c r="D271" s="11"/>
      <c r="E271" s="11"/>
      <c r="G271" s="11"/>
      <c r="H271" s="11"/>
      <c r="I271" s="11"/>
      <c r="J271" s="11"/>
      <c r="K271" s="11"/>
      <c r="L271" s="11"/>
      <c r="M271" s="11"/>
      <c r="N271" s="10"/>
      <c r="O271" s="11"/>
      <c r="P271" s="11"/>
      <c r="Q271" s="11"/>
    </row>
    <row r="272" spans="1:17" x14ac:dyDescent="0.3">
      <c r="A272" s="8"/>
      <c r="D272" s="11"/>
      <c r="E272" s="11"/>
      <c r="G272" s="11"/>
      <c r="H272" s="11"/>
      <c r="I272" s="11"/>
      <c r="J272" s="11"/>
      <c r="K272" s="11"/>
      <c r="L272" s="10"/>
      <c r="M272" s="10"/>
      <c r="N272" s="11"/>
      <c r="O272" s="11"/>
      <c r="P272" s="11"/>
      <c r="Q272" s="11"/>
    </row>
    <row r="273" spans="1:17" x14ac:dyDescent="0.3">
      <c r="A273" s="8"/>
      <c r="D273" s="10"/>
      <c r="E273" s="11"/>
      <c r="G273" s="11"/>
      <c r="H273" s="11"/>
      <c r="I273" s="11"/>
      <c r="J273" s="11"/>
      <c r="K273" s="11"/>
      <c r="L273" s="10"/>
      <c r="M273" s="10"/>
      <c r="N273" s="11"/>
      <c r="O273" s="11"/>
      <c r="P273" s="11"/>
      <c r="Q273" s="11"/>
    </row>
    <row r="274" spans="1:17" x14ac:dyDescent="0.3">
      <c r="A274" s="8"/>
      <c r="D274" s="11"/>
      <c r="E274" s="11"/>
      <c r="G274" s="11"/>
      <c r="H274" s="11"/>
      <c r="I274" s="11"/>
      <c r="J274" s="11"/>
      <c r="K274" s="11"/>
      <c r="L274" s="10"/>
      <c r="M274" s="10"/>
      <c r="N274" s="11"/>
      <c r="O274" s="11"/>
      <c r="P274" s="11"/>
      <c r="Q274" s="11"/>
    </row>
    <row r="275" spans="1:17" x14ac:dyDescent="0.3">
      <c r="A275" s="8"/>
      <c r="D275" s="11"/>
      <c r="E275" s="11"/>
      <c r="G275" s="11"/>
      <c r="H275" s="11"/>
      <c r="I275" s="11"/>
      <c r="J275" s="11"/>
      <c r="K275" s="11"/>
      <c r="L275" s="10"/>
      <c r="M275" s="10"/>
      <c r="N275" s="11"/>
      <c r="O275" s="11"/>
      <c r="P275" s="11"/>
      <c r="Q275" s="11"/>
    </row>
    <row r="276" spans="1:17" x14ac:dyDescent="0.3">
      <c r="A276" s="8"/>
      <c r="D276" s="11"/>
      <c r="E276" s="11"/>
      <c r="G276" s="11"/>
      <c r="H276" s="11"/>
      <c r="I276" s="11"/>
      <c r="J276" s="11"/>
      <c r="K276" s="11"/>
      <c r="L276" s="10"/>
      <c r="M276" s="10"/>
      <c r="N276" s="11"/>
      <c r="O276" s="11"/>
      <c r="P276" s="11"/>
      <c r="Q276" s="11"/>
    </row>
    <row r="277" spans="1:17" x14ac:dyDescent="0.3">
      <c r="A277" s="8"/>
      <c r="D277" s="11"/>
      <c r="E277" s="11"/>
      <c r="G277" s="11"/>
      <c r="H277" s="11"/>
      <c r="I277" s="11"/>
      <c r="J277" s="11"/>
      <c r="K277" s="11"/>
      <c r="L277" s="11"/>
      <c r="M277" s="11"/>
      <c r="N277" s="10"/>
      <c r="O277" s="11"/>
      <c r="P277" s="11"/>
      <c r="Q277" s="11"/>
    </row>
    <row r="278" spans="1:17" x14ac:dyDescent="0.3">
      <c r="A278" s="8"/>
      <c r="D278" s="11"/>
      <c r="E278" s="11"/>
      <c r="G278" s="11"/>
      <c r="H278" s="11"/>
      <c r="I278" s="11"/>
      <c r="J278" s="11"/>
      <c r="K278" s="11"/>
      <c r="L278" s="10"/>
      <c r="M278" s="10"/>
      <c r="N278" s="11"/>
      <c r="O278" s="11"/>
      <c r="P278" s="11"/>
      <c r="Q278" s="11"/>
    </row>
    <row r="279" spans="1:17" x14ac:dyDescent="0.3">
      <c r="A279" s="8"/>
      <c r="D279" s="11"/>
      <c r="E279" s="11"/>
      <c r="G279" s="11"/>
      <c r="H279" s="11"/>
      <c r="I279" s="11"/>
      <c r="J279" s="11"/>
      <c r="K279" s="11"/>
      <c r="L279" s="11"/>
      <c r="M279" s="11"/>
      <c r="N279" s="10"/>
      <c r="O279" s="11"/>
      <c r="P279" s="11"/>
      <c r="Q279" s="11"/>
    </row>
    <row r="280" spans="1:17" x14ac:dyDescent="0.3">
      <c r="A280" s="8"/>
      <c r="D280" s="11"/>
      <c r="E280" s="11"/>
      <c r="G280" s="11"/>
      <c r="H280" s="11"/>
      <c r="I280" s="11"/>
      <c r="J280" s="11"/>
      <c r="K280" s="11"/>
      <c r="L280" s="10"/>
      <c r="M280" s="10"/>
      <c r="N280" s="11"/>
      <c r="O280" s="11"/>
      <c r="P280" s="11"/>
      <c r="Q280" s="11"/>
    </row>
    <row r="281" spans="1:17" x14ac:dyDescent="0.3">
      <c r="A281" s="8"/>
      <c r="D281" s="11"/>
      <c r="E281" s="11"/>
      <c r="G281" s="11"/>
      <c r="H281" s="11"/>
      <c r="I281" s="11"/>
      <c r="J281" s="11"/>
      <c r="K281" s="11"/>
      <c r="L281" s="10"/>
      <c r="M281" s="10"/>
      <c r="N281" s="11"/>
      <c r="O281" s="11"/>
      <c r="P281" s="11"/>
      <c r="Q281" s="11"/>
    </row>
    <row r="282" spans="1:17" x14ac:dyDescent="0.3">
      <c r="A282" s="8"/>
      <c r="D282" s="10"/>
      <c r="E282" s="11"/>
      <c r="G282" s="11"/>
      <c r="H282" s="11"/>
      <c r="I282" s="11"/>
      <c r="J282" s="11"/>
      <c r="K282" s="11"/>
      <c r="L282" s="10"/>
      <c r="M282" s="10"/>
      <c r="N282" s="11"/>
      <c r="O282" s="11"/>
      <c r="P282" s="11"/>
      <c r="Q282" s="11"/>
    </row>
    <row r="283" spans="1:17" x14ac:dyDescent="0.3">
      <c r="A283" s="8"/>
      <c r="D283" s="11"/>
      <c r="E283" s="11"/>
      <c r="G283" s="11"/>
      <c r="H283" s="11"/>
      <c r="I283" s="11"/>
      <c r="J283" s="11"/>
      <c r="K283" s="11"/>
      <c r="L283" s="11"/>
      <c r="M283" s="11"/>
      <c r="N283" s="10"/>
      <c r="O283" s="11"/>
      <c r="P283" s="11"/>
      <c r="Q283" s="11"/>
    </row>
    <row r="284" spans="1:17" x14ac:dyDescent="0.3">
      <c r="A284" s="8"/>
      <c r="D284" s="11"/>
      <c r="E284" s="11"/>
      <c r="G284" s="11"/>
      <c r="H284" s="11"/>
      <c r="I284" s="11"/>
      <c r="J284" s="11"/>
      <c r="K284" s="11"/>
      <c r="L284" s="10"/>
      <c r="M284" s="10"/>
      <c r="N284" s="11"/>
      <c r="O284" s="11"/>
      <c r="P284" s="11"/>
      <c r="Q284" s="11"/>
    </row>
    <row r="285" spans="1:17" x14ac:dyDescent="0.3">
      <c r="A285" s="8"/>
      <c r="D285" s="11"/>
      <c r="E285" s="11"/>
      <c r="G285" s="11"/>
      <c r="H285" s="11"/>
      <c r="I285" s="11"/>
      <c r="J285" s="11"/>
      <c r="K285" s="11"/>
      <c r="L285" s="11"/>
      <c r="M285" s="11"/>
      <c r="N285" s="10"/>
      <c r="O285" s="11"/>
      <c r="P285" s="11"/>
      <c r="Q285" s="11"/>
    </row>
    <row r="286" spans="1:17" x14ac:dyDescent="0.3">
      <c r="A286" s="8"/>
      <c r="D286" s="11"/>
      <c r="E286" s="11"/>
      <c r="G286" s="11"/>
      <c r="H286" s="11"/>
      <c r="I286" s="11"/>
      <c r="J286" s="11"/>
      <c r="K286" s="11"/>
      <c r="L286" s="11"/>
      <c r="M286" s="11"/>
      <c r="N286" s="10"/>
      <c r="O286" s="11"/>
      <c r="P286" s="11"/>
      <c r="Q286" s="11"/>
    </row>
    <row r="287" spans="1:17" x14ac:dyDescent="0.3">
      <c r="A287" s="8"/>
      <c r="D287" s="11"/>
      <c r="E287" s="11"/>
      <c r="G287" s="11"/>
      <c r="H287" s="11"/>
      <c r="I287" s="11"/>
      <c r="J287" s="11"/>
      <c r="K287" s="11"/>
      <c r="L287" s="10"/>
      <c r="M287" s="10"/>
      <c r="N287" s="11"/>
      <c r="O287" s="11"/>
      <c r="P287" s="11"/>
      <c r="Q287" s="11"/>
    </row>
    <row r="288" spans="1:17" x14ac:dyDescent="0.3">
      <c r="A288" s="8"/>
      <c r="D288" s="11"/>
      <c r="E288" s="11"/>
      <c r="G288" s="11"/>
      <c r="H288" s="11"/>
      <c r="I288" s="11"/>
      <c r="J288" s="11"/>
      <c r="K288" s="11"/>
      <c r="L288" s="10"/>
      <c r="M288" s="10"/>
      <c r="N288" s="11"/>
      <c r="O288" s="11"/>
      <c r="P288" s="11"/>
      <c r="Q288" s="11"/>
    </row>
    <row r="289" spans="1:17" x14ac:dyDescent="0.3">
      <c r="A289" s="8"/>
      <c r="D289" s="11"/>
      <c r="E289" s="11"/>
      <c r="G289" s="11"/>
      <c r="H289" s="11"/>
      <c r="I289" s="11"/>
      <c r="J289" s="11"/>
      <c r="K289" s="11"/>
      <c r="L289" s="11"/>
      <c r="M289" s="11"/>
      <c r="N289" s="10"/>
      <c r="O289" s="11"/>
      <c r="P289" s="11"/>
      <c r="Q289" s="11"/>
    </row>
    <row r="290" spans="1:17" x14ac:dyDescent="0.3">
      <c r="A290" s="8"/>
      <c r="D290" s="11"/>
      <c r="E290" s="11"/>
      <c r="G290" s="11"/>
      <c r="H290" s="11"/>
      <c r="I290" s="11"/>
      <c r="J290" s="11"/>
      <c r="K290" s="11"/>
      <c r="L290" s="10"/>
      <c r="M290" s="10"/>
      <c r="N290" s="11"/>
      <c r="O290" s="11"/>
      <c r="P290" s="11"/>
      <c r="Q290" s="11"/>
    </row>
    <row r="291" spans="1:17" x14ac:dyDescent="0.3">
      <c r="A291" s="8"/>
      <c r="D291" s="11"/>
      <c r="E291" s="11"/>
      <c r="G291" s="11"/>
      <c r="H291" s="11"/>
      <c r="I291" s="11"/>
      <c r="J291" s="11"/>
      <c r="K291" s="11"/>
      <c r="L291" s="11"/>
      <c r="M291" s="11"/>
      <c r="N291" s="10"/>
      <c r="O291" s="11"/>
      <c r="P291" s="11"/>
      <c r="Q291" s="11"/>
    </row>
    <row r="292" spans="1:17" x14ac:dyDescent="0.3">
      <c r="A292" s="8"/>
      <c r="D292" s="11"/>
      <c r="E292" s="11"/>
      <c r="G292" s="11"/>
      <c r="H292" s="11"/>
      <c r="I292" s="11"/>
      <c r="J292" s="11"/>
      <c r="K292" s="11"/>
      <c r="L292" s="11"/>
      <c r="M292" s="11"/>
      <c r="N292" s="10"/>
      <c r="O292" s="11"/>
      <c r="P292" s="11"/>
      <c r="Q292" s="11"/>
    </row>
    <row r="293" spans="1:17" x14ac:dyDescent="0.3">
      <c r="A293" s="8"/>
      <c r="D293" s="11"/>
      <c r="E293" s="11"/>
      <c r="G293" s="11"/>
      <c r="H293" s="11"/>
      <c r="I293" s="11"/>
      <c r="J293" s="11"/>
      <c r="K293" s="11"/>
      <c r="L293" s="10"/>
      <c r="M293" s="10"/>
      <c r="N293" s="11"/>
      <c r="O293" s="11"/>
      <c r="P293" s="11"/>
      <c r="Q293" s="11"/>
    </row>
    <row r="294" spans="1:17" x14ac:dyDescent="0.3">
      <c r="A294" s="8"/>
      <c r="D294" s="11"/>
      <c r="E294" s="11"/>
      <c r="G294" s="11"/>
      <c r="H294" s="11"/>
      <c r="I294" s="11"/>
      <c r="J294" s="11"/>
      <c r="K294" s="11"/>
      <c r="L294" s="11"/>
      <c r="M294" s="11"/>
      <c r="N294" s="10"/>
      <c r="O294" s="11"/>
      <c r="P294" s="11"/>
      <c r="Q294" s="11"/>
    </row>
    <row r="295" spans="1:17" x14ac:dyDescent="0.3">
      <c r="A295" s="8"/>
      <c r="D295" s="11"/>
      <c r="E295" s="11"/>
      <c r="G295" s="11"/>
      <c r="H295" s="11"/>
      <c r="I295" s="11"/>
      <c r="J295" s="11"/>
      <c r="K295" s="11"/>
      <c r="L295" s="10"/>
      <c r="M295" s="10"/>
      <c r="N295" s="11"/>
      <c r="O295" s="11"/>
      <c r="P295" s="11"/>
      <c r="Q295" s="11"/>
    </row>
    <row r="296" spans="1:17" x14ac:dyDescent="0.3">
      <c r="A296" s="8"/>
      <c r="D296" s="11"/>
      <c r="E296" s="11"/>
      <c r="G296" s="11"/>
      <c r="H296" s="11"/>
      <c r="I296" s="11"/>
      <c r="J296" s="11"/>
      <c r="K296" s="11"/>
      <c r="L296" s="10"/>
      <c r="M296" s="10"/>
      <c r="N296" s="11"/>
      <c r="O296" s="11"/>
      <c r="P296" s="11"/>
      <c r="Q296" s="11"/>
    </row>
    <row r="297" spans="1:17" x14ac:dyDescent="0.3">
      <c r="A297" s="8"/>
      <c r="D297" s="11"/>
      <c r="E297" s="11"/>
      <c r="G297" s="11"/>
      <c r="H297" s="11"/>
      <c r="I297" s="11"/>
      <c r="J297" s="11"/>
      <c r="K297" s="11"/>
      <c r="L297" s="11"/>
      <c r="M297" s="11"/>
      <c r="N297" s="10"/>
      <c r="O297" s="11"/>
      <c r="P297" s="11"/>
      <c r="Q297" s="11"/>
    </row>
    <row r="298" spans="1:17" x14ac:dyDescent="0.3">
      <c r="A298" s="8"/>
      <c r="D298" s="11"/>
      <c r="E298" s="11"/>
      <c r="G298" s="11"/>
      <c r="H298" s="11"/>
      <c r="I298" s="11"/>
      <c r="J298" s="11"/>
      <c r="K298" s="11"/>
      <c r="L298" s="11"/>
      <c r="M298" s="11"/>
      <c r="N298" s="10"/>
      <c r="O298" s="11"/>
      <c r="P298" s="11"/>
      <c r="Q298" s="11"/>
    </row>
    <row r="299" spans="1:17" x14ac:dyDescent="0.3">
      <c r="A299" s="8"/>
      <c r="D299" s="11"/>
      <c r="E299" s="11"/>
      <c r="G299" s="11"/>
      <c r="H299" s="11"/>
      <c r="I299" s="11"/>
      <c r="J299" s="11"/>
      <c r="K299" s="11"/>
      <c r="L299" s="10"/>
      <c r="M299" s="10"/>
      <c r="N299" s="11"/>
      <c r="O299" s="11"/>
      <c r="P299" s="11"/>
      <c r="Q299" s="11"/>
    </row>
    <row r="300" spans="1:17" x14ac:dyDescent="0.3">
      <c r="A300" s="8"/>
      <c r="D300" s="11"/>
      <c r="E300" s="11"/>
      <c r="G300" s="11"/>
      <c r="H300" s="11"/>
      <c r="I300" s="11"/>
      <c r="J300" s="11"/>
      <c r="K300" s="11"/>
      <c r="L300" s="11"/>
      <c r="M300" s="11"/>
      <c r="N300" s="10"/>
      <c r="O300" s="11"/>
      <c r="P300" s="11"/>
      <c r="Q300" s="11"/>
    </row>
    <row r="301" spans="1:17" x14ac:dyDescent="0.3">
      <c r="A301" s="8"/>
      <c r="D301" s="11"/>
      <c r="E301" s="11"/>
      <c r="G301" s="11"/>
      <c r="H301" s="11"/>
      <c r="I301" s="11"/>
      <c r="J301" s="11"/>
      <c r="K301" s="11"/>
      <c r="L301" s="11"/>
      <c r="M301" s="11"/>
      <c r="N301" s="10"/>
      <c r="O301" s="11"/>
      <c r="P301" s="11"/>
      <c r="Q301" s="11"/>
    </row>
    <row r="302" spans="1:17" x14ac:dyDescent="0.3">
      <c r="A302" s="8"/>
      <c r="D302" s="11"/>
      <c r="E302" s="11"/>
      <c r="G302" s="11"/>
      <c r="H302" s="11"/>
      <c r="I302" s="11"/>
      <c r="J302" s="11"/>
      <c r="K302" s="11"/>
      <c r="L302" s="10"/>
      <c r="M302" s="10"/>
      <c r="N302" s="11"/>
      <c r="O302" s="11"/>
      <c r="P302" s="11"/>
      <c r="Q302" s="11"/>
    </row>
    <row r="303" spans="1:17" x14ac:dyDescent="0.3">
      <c r="A303" s="8"/>
      <c r="D303" s="11"/>
      <c r="E303" s="11"/>
      <c r="G303" s="11"/>
      <c r="H303" s="11"/>
      <c r="I303" s="11"/>
      <c r="J303" s="11"/>
      <c r="K303" s="11"/>
      <c r="L303" s="10"/>
      <c r="M303" s="10"/>
      <c r="N303" s="11"/>
      <c r="O303" s="11"/>
      <c r="P303" s="11"/>
      <c r="Q303" s="11"/>
    </row>
    <row r="304" spans="1:17" x14ac:dyDescent="0.3">
      <c r="A304" s="8"/>
      <c r="D304" s="11"/>
      <c r="E304" s="11"/>
      <c r="G304" s="11"/>
      <c r="H304" s="11"/>
      <c r="I304" s="11"/>
      <c r="J304" s="11"/>
      <c r="K304" s="11"/>
      <c r="L304" s="11"/>
      <c r="M304" s="11"/>
      <c r="N304" s="10"/>
      <c r="O304" s="11"/>
      <c r="P304" s="11"/>
      <c r="Q304" s="11"/>
    </row>
    <row r="305" spans="1:17" x14ac:dyDescent="0.3">
      <c r="A305" s="8"/>
      <c r="D305" s="11"/>
      <c r="E305" s="11"/>
      <c r="G305" s="11"/>
      <c r="H305" s="11"/>
      <c r="I305" s="11"/>
      <c r="J305" s="11"/>
      <c r="K305" s="11"/>
      <c r="L305" s="11"/>
      <c r="M305" s="11"/>
      <c r="N305" s="10"/>
      <c r="O305" s="11"/>
      <c r="P305" s="11"/>
      <c r="Q305" s="11"/>
    </row>
    <row r="306" spans="1:17" x14ac:dyDescent="0.3">
      <c r="A306" s="8"/>
      <c r="D306" s="11"/>
      <c r="E306" s="11"/>
      <c r="G306" s="11"/>
      <c r="H306" s="11"/>
      <c r="I306" s="11"/>
      <c r="J306" s="11"/>
      <c r="K306" s="11"/>
      <c r="L306" s="11"/>
      <c r="M306" s="11"/>
      <c r="N306" s="10"/>
      <c r="O306" s="11"/>
      <c r="P306" s="11"/>
      <c r="Q306" s="11"/>
    </row>
    <row r="307" spans="1:17" x14ac:dyDescent="0.3">
      <c r="A307" s="8"/>
      <c r="D307" s="11"/>
      <c r="E307" s="11"/>
      <c r="G307" s="11"/>
      <c r="H307" s="11"/>
      <c r="I307" s="11"/>
      <c r="J307" s="11"/>
      <c r="K307" s="11"/>
      <c r="L307" s="10"/>
      <c r="M307" s="10"/>
      <c r="N307" s="11"/>
      <c r="O307" s="11"/>
      <c r="P307" s="11"/>
      <c r="Q307" s="11"/>
    </row>
    <row r="308" spans="1:17" x14ac:dyDescent="0.3">
      <c r="A308" s="8"/>
      <c r="D308" s="11"/>
      <c r="E308" s="11"/>
      <c r="G308" s="11"/>
      <c r="H308" s="11"/>
      <c r="I308" s="11"/>
      <c r="J308" s="11"/>
      <c r="K308" s="11"/>
      <c r="L308" s="10"/>
      <c r="M308" s="10"/>
      <c r="N308" s="11"/>
      <c r="O308" s="11"/>
      <c r="P308" s="11"/>
      <c r="Q308" s="11"/>
    </row>
    <row r="309" spans="1:17" x14ac:dyDescent="0.3">
      <c r="A309" s="8"/>
      <c r="D309" s="11"/>
      <c r="E309" s="11"/>
      <c r="G309" s="11"/>
      <c r="H309" s="11"/>
      <c r="I309" s="11"/>
      <c r="J309" s="11"/>
      <c r="K309" s="11"/>
      <c r="L309" s="11"/>
      <c r="M309" s="11"/>
      <c r="N309" s="10"/>
      <c r="O309" s="11"/>
      <c r="P309" s="11"/>
      <c r="Q309" s="11"/>
    </row>
    <row r="310" spans="1:17" x14ac:dyDescent="0.3">
      <c r="A310" s="8"/>
      <c r="D310" s="11"/>
      <c r="E310" s="11"/>
      <c r="G310" s="11"/>
      <c r="H310" s="11"/>
      <c r="I310" s="11"/>
      <c r="J310" s="11"/>
      <c r="K310" s="11"/>
      <c r="L310" s="11"/>
      <c r="M310" s="11"/>
      <c r="N310" s="10"/>
      <c r="O310" s="11"/>
      <c r="P310" s="11"/>
      <c r="Q310" s="11"/>
    </row>
    <row r="311" spans="1:17" x14ac:dyDescent="0.3">
      <c r="A311" s="8"/>
      <c r="D311" s="11"/>
      <c r="E311" s="11"/>
      <c r="G311" s="11"/>
      <c r="H311" s="11"/>
      <c r="I311" s="11"/>
      <c r="J311" s="11"/>
      <c r="K311" s="11"/>
      <c r="L311" s="10"/>
      <c r="M311" s="10"/>
      <c r="N311" s="11"/>
      <c r="O311" s="11"/>
      <c r="P311" s="11"/>
      <c r="Q311" s="11"/>
    </row>
    <row r="312" spans="1:17" x14ac:dyDescent="0.3">
      <c r="A312" s="8"/>
      <c r="D312" s="11"/>
      <c r="E312" s="11"/>
      <c r="G312" s="11"/>
      <c r="H312" s="11"/>
      <c r="I312" s="11"/>
      <c r="J312" s="11"/>
      <c r="K312" s="11"/>
      <c r="L312" s="10"/>
      <c r="M312" s="10"/>
      <c r="N312" s="11"/>
      <c r="O312" s="11"/>
      <c r="P312" s="11"/>
      <c r="Q312" s="11"/>
    </row>
    <row r="313" spans="1:17" x14ac:dyDescent="0.3">
      <c r="A313" s="8"/>
      <c r="D313" s="11"/>
      <c r="E313" s="11"/>
      <c r="G313" s="11"/>
      <c r="H313" s="11"/>
      <c r="I313" s="11"/>
      <c r="J313" s="11"/>
      <c r="K313" s="11"/>
      <c r="L313" s="10"/>
      <c r="M313" s="10"/>
      <c r="N313" s="11"/>
      <c r="O313" s="11"/>
      <c r="P313" s="11"/>
      <c r="Q313" s="11"/>
    </row>
    <row r="314" spans="1:17" x14ac:dyDescent="0.3">
      <c r="A314" s="8"/>
      <c r="D314" s="10"/>
      <c r="E314" s="11"/>
      <c r="G314" s="11"/>
      <c r="H314" s="11"/>
      <c r="I314" s="11"/>
      <c r="J314" s="11"/>
      <c r="K314" s="11"/>
      <c r="L314" s="10"/>
      <c r="M314" s="10"/>
      <c r="N314" s="11"/>
      <c r="O314" s="11"/>
      <c r="P314" s="11"/>
      <c r="Q314" s="11"/>
    </row>
    <row r="315" spans="1:17" x14ac:dyDescent="0.3">
      <c r="A315" s="8"/>
      <c r="D315" s="11"/>
      <c r="E315" s="11"/>
      <c r="G315" s="11"/>
      <c r="H315" s="11"/>
      <c r="I315" s="11"/>
      <c r="J315" s="11"/>
      <c r="K315" s="11"/>
      <c r="L315" s="11"/>
      <c r="M315" s="11"/>
      <c r="N315" s="10"/>
      <c r="O315" s="11"/>
      <c r="P315" s="11"/>
      <c r="Q315" s="11"/>
    </row>
    <row r="316" spans="1:17" x14ac:dyDescent="0.3">
      <c r="A316" s="8"/>
      <c r="D316" s="11"/>
      <c r="E316" s="11"/>
      <c r="G316" s="11"/>
      <c r="H316" s="11"/>
      <c r="I316" s="11"/>
      <c r="J316" s="11"/>
      <c r="K316" s="11"/>
      <c r="L316" s="10"/>
      <c r="M316" s="10"/>
      <c r="N316" s="11"/>
      <c r="O316" s="11"/>
      <c r="P316" s="11"/>
      <c r="Q316" s="11"/>
    </row>
    <row r="317" spans="1:17" x14ac:dyDescent="0.3">
      <c r="A317" s="8"/>
      <c r="D317" s="11"/>
      <c r="E317" s="11"/>
      <c r="G317" s="11"/>
      <c r="H317" s="11"/>
      <c r="I317" s="11"/>
      <c r="J317" s="11"/>
      <c r="K317" s="11"/>
      <c r="L317" s="10"/>
      <c r="M317" s="10"/>
      <c r="N317" s="11"/>
      <c r="O317" s="11"/>
      <c r="P317" s="11"/>
      <c r="Q317" s="11"/>
    </row>
    <row r="318" spans="1:17" x14ac:dyDescent="0.3">
      <c r="A318" s="8"/>
      <c r="D318" s="11"/>
      <c r="E318" s="11"/>
      <c r="H318" s="11"/>
      <c r="I318" s="11"/>
      <c r="J318" s="11"/>
      <c r="K318" s="11"/>
      <c r="L318" s="11"/>
      <c r="M318" s="11"/>
      <c r="N318" s="10"/>
      <c r="O318" s="11"/>
      <c r="P318" s="11"/>
      <c r="Q318" s="11"/>
    </row>
    <row r="319" spans="1:17" x14ac:dyDescent="0.3">
      <c r="A319" s="8"/>
      <c r="D319" s="11"/>
      <c r="E319" s="11"/>
      <c r="G319" s="11"/>
      <c r="H319" s="11"/>
      <c r="I319" s="11"/>
      <c r="J319" s="11"/>
      <c r="K319" s="11"/>
      <c r="L319" s="10"/>
      <c r="M319" s="10"/>
      <c r="N319" s="11"/>
      <c r="O319" s="11"/>
      <c r="P319" s="11"/>
      <c r="Q319" s="11"/>
    </row>
    <row r="320" spans="1:17" x14ac:dyDescent="0.3">
      <c r="A320" s="8"/>
      <c r="D320" s="11"/>
      <c r="E320" s="11"/>
      <c r="G320" s="11"/>
      <c r="H320" s="11"/>
      <c r="I320" s="11"/>
      <c r="J320" s="11"/>
      <c r="K320" s="11"/>
      <c r="L320" s="11"/>
      <c r="M320" s="11"/>
      <c r="N320" s="10"/>
      <c r="O320" s="11"/>
      <c r="P320" s="11"/>
      <c r="Q320" s="11"/>
    </row>
    <row r="321" spans="1:17" x14ac:dyDescent="0.3">
      <c r="A321" s="8"/>
      <c r="D321" s="11"/>
      <c r="E321" s="11"/>
      <c r="G321" s="11"/>
      <c r="H321" s="11"/>
      <c r="I321" s="11"/>
      <c r="J321" s="11"/>
      <c r="K321" s="11"/>
      <c r="L321" s="10"/>
      <c r="M321" s="10"/>
      <c r="N321" s="11"/>
      <c r="O321" s="11"/>
      <c r="P321" s="11"/>
      <c r="Q321" s="11"/>
    </row>
    <row r="322" spans="1:17" x14ac:dyDescent="0.3">
      <c r="A322" s="8"/>
      <c r="D322" s="11"/>
      <c r="E322" s="11"/>
      <c r="G322" s="11"/>
      <c r="H322" s="11"/>
      <c r="I322" s="11"/>
      <c r="J322" s="11"/>
      <c r="K322" s="11"/>
      <c r="L322" s="10"/>
      <c r="M322" s="11"/>
      <c r="N322" s="11"/>
      <c r="O322" s="11"/>
      <c r="P322" s="11"/>
      <c r="Q322" s="11"/>
    </row>
    <row r="323" spans="1:17" x14ac:dyDescent="0.3">
      <c r="A323" s="8"/>
      <c r="D323" s="11"/>
      <c r="E323" s="11"/>
      <c r="G323" s="11"/>
      <c r="H323" s="11"/>
      <c r="I323" s="11"/>
      <c r="J323" s="11"/>
      <c r="K323" s="11"/>
      <c r="L323" s="11"/>
      <c r="M323" s="11"/>
      <c r="N323" s="10"/>
      <c r="O323" s="11"/>
      <c r="P323" s="11"/>
      <c r="Q323" s="11"/>
    </row>
    <row r="324" spans="1:17" x14ac:dyDescent="0.3">
      <c r="A324" s="8"/>
      <c r="D324" s="11"/>
      <c r="E324" s="11"/>
      <c r="G324" s="11"/>
      <c r="H324" s="11"/>
      <c r="I324" s="11"/>
      <c r="J324" s="11"/>
      <c r="K324" s="11"/>
      <c r="L324" s="11"/>
      <c r="M324" s="11"/>
      <c r="N324" s="10"/>
      <c r="O324" s="11"/>
      <c r="P324" s="11"/>
      <c r="Q324" s="11"/>
    </row>
    <row r="325" spans="1:17" x14ac:dyDescent="0.3">
      <c r="A325" s="8"/>
      <c r="D325" s="11"/>
      <c r="E325" s="11"/>
      <c r="G325" s="11"/>
      <c r="H325" s="11"/>
      <c r="I325" s="11"/>
      <c r="J325" s="11"/>
      <c r="K325" s="11"/>
      <c r="L325" s="10"/>
      <c r="M325" s="10"/>
      <c r="N325" s="11"/>
      <c r="O325" s="11"/>
      <c r="P325" s="11"/>
      <c r="Q325" s="11"/>
    </row>
    <row r="326" spans="1:17" x14ac:dyDescent="0.3">
      <c r="A326" s="8"/>
      <c r="D326" s="11"/>
      <c r="E326" s="11"/>
      <c r="G326" s="11"/>
      <c r="H326" s="11"/>
      <c r="I326" s="11"/>
      <c r="J326" s="11"/>
      <c r="K326" s="11"/>
      <c r="L326" s="10"/>
      <c r="M326" s="10"/>
      <c r="N326" s="11"/>
      <c r="O326" s="11"/>
      <c r="P326" s="11"/>
      <c r="Q326" s="11"/>
    </row>
    <row r="327" spans="1:17" x14ac:dyDescent="0.3">
      <c r="A327" s="8"/>
      <c r="D327" s="11"/>
      <c r="E327" s="11"/>
      <c r="G327" s="11"/>
      <c r="H327" s="11"/>
      <c r="I327" s="11"/>
      <c r="J327" s="11"/>
      <c r="K327" s="11"/>
      <c r="L327" s="11"/>
      <c r="M327" s="11"/>
      <c r="N327" s="10"/>
      <c r="O327" s="11"/>
      <c r="P327" s="11"/>
      <c r="Q327" s="11"/>
    </row>
    <row r="328" spans="1:17" x14ac:dyDescent="0.3">
      <c r="A328" s="8"/>
      <c r="D328" s="11"/>
      <c r="E328" s="11"/>
      <c r="G328" s="11"/>
      <c r="H328" s="11"/>
      <c r="I328" s="11"/>
      <c r="J328" s="11"/>
      <c r="K328" s="11"/>
      <c r="L328" s="10"/>
      <c r="M328" s="10"/>
      <c r="N328" s="11"/>
      <c r="O328" s="11"/>
      <c r="P328" s="11"/>
      <c r="Q328" s="11"/>
    </row>
    <row r="329" spans="1:17" x14ac:dyDescent="0.3">
      <c r="A329" s="8"/>
      <c r="D329" s="11"/>
      <c r="E329" s="11"/>
      <c r="G329" s="11"/>
      <c r="H329" s="11"/>
      <c r="I329" s="11"/>
      <c r="J329" s="11"/>
      <c r="K329" s="11"/>
      <c r="L329" s="10"/>
      <c r="M329" s="10"/>
      <c r="N329" s="11"/>
      <c r="O329" s="11"/>
      <c r="P329" s="11"/>
      <c r="Q329" s="11"/>
    </row>
    <row r="330" spans="1:17" x14ac:dyDescent="0.3">
      <c r="A330" s="8"/>
      <c r="D330" s="11"/>
      <c r="E330" s="11"/>
      <c r="G330" s="11"/>
      <c r="H330" s="11"/>
      <c r="I330" s="11"/>
      <c r="J330" s="11"/>
      <c r="K330" s="11"/>
      <c r="L330" s="10"/>
      <c r="M330" s="10"/>
      <c r="N330" s="11"/>
      <c r="O330" s="11"/>
      <c r="P330" s="11"/>
      <c r="Q330" s="11"/>
    </row>
    <row r="331" spans="1:17" x14ac:dyDescent="0.3">
      <c r="A331" s="8"/>
      <c r="D331" s="10"/>
      <c r="E331" s="11"/>
      <c r="G331" s="11"/>
      <c r="H331" s="11"/>
      <c r="I331" s="11"/>
      <c r="J331" s="11"/>
      <c r="K331" s="11"/>
      <c r="L331" s="10"/>
      <c r="M331" s="10"/>
      <c r="N331" s="11"/>
      <c r="O331" s="11"/>
      <c r="P331" s="11"/>
      <c r="Q331" s="11"/>
    </row>
    <row r="332" spans="1:17" x14ac:dyDescent="0.3">
      <c r="A332" s="8"/>
      <c r="D332" s="10"/>
      <c r="E332" s="11"/>
      <c r="G332" s="11"/>
      <c r="H332" s="11"/>
      <c r="I332" s="11"/>
      <c r="J332" s="11"/>
      <c r="K332" s="11"/>
      <c r="L332" s="11"/>
      <c r="M332" s="11"/>
      <c r="N332" s="10"/>
      <c r="O332" s="11"/>
      <c r="P332" s="11"/>
      <c r="Q332" s="11"/>
    </row>
    <row r="333" spans="1:17" x14ac:dyDescent="0.3">
      <c r="A333" s="8"/>
      <c r="D333" s="10"/>
      <c r="E333" s="11"/>
      <c r="G333" s="11"/>
      <c r="H333" s="11"/>
      <c r="I333" s="11"/>
      <c r="J333" s="11"/>
      <c r="K333" s="11"/>
      <c r="L333" s="10"/>
      <c r="M333" s="10"/>
      <c r="N333" s="11"/>
      <c r="O333" s="11"/>
      <c r="P333" s="11"/>
      <c r="Q333" s="11"/>
    </row>
    <row r="334" spans="1:17" x14ac:dyDescent="0.3">
      <c r="A334" s="8"/>
      <c r="D334" s="11"/>
      <c r="E334" s="11"/>
      <c r="G334" s="11"/>
      <c r="H334" s="11"/>
      <c r="I334" s="11"/>
      <c r="J334" s="11"/>
      <c r="K334" s="11"/>
      <c r="L334" s="10"/>
      <c r="M334" s="10"/>
      <c r="N334" s="11"/>
      <c r="O334" s="11"/>
      <c r="P334" s="11"/>
      <c r="Q334" s="11"/>
    </row>
    <row r="335" spans="1:17" x14ac:dyDescent="0.3">
      <c r="A335" s="8"/>
      <c r="D335" s="11"/>
      <c r="E335" s="11"/>
      <c r="G335" s="11"/>
      <c r="H335" s="11"/>
      <c r="I335" s="11"/>
      <c r="J335" s="11"/>
      <c r="K335" s="11"/>
      <c r="L335" s="10"/>
      <c r="M335" s="10"/>
      <c r="N335" s="11"/>
      <c r="O335" s="11"/>
      <c r="P335" s="11"/>
      <c r="Q335" s="11"/>
    </row>
    <row r="336" spans="1:17" x14ac:dyDescent="0.3">
      <c r="A336" s="8"/>
      <c r="D336" s="11"/>
      <c r="E336" s="11"/>
      <c r="G336" s="11"/>
      <c r="H336" s="11"/>
      <c r="I336" s="11"/>
      <c r="J336" s="11"/>
      <c r="K336" s="11"/>
      <c r="L336" s="11"/>
      <c r="M336" s="11"/>
      <c r="N336" s="10"/>
      <c r="O336" s="11"/>
      <c r="P336" s="11"/>
      <c r="Q336" s="11"/>
    </row>
    <row r="337" spans="1:17" x14ac:dyDescent="0.3">
      <c r="A337" s="8"/>
      <c r="D337" s="11"/>
      <c r="E337" s="11"/>
      <c r="G337" s="11"/>
      <c r="H337" s="11"/>
      <c r="I337" s="11"/>
      <c r="J337" s="11"/>
      <c r="K337" s="11"/>
      <c r="L337" s="11"/>
      <c r="M337" s="11"/>
      <c r="N337" s="10"/>
      <c r="O337" s="11"/>
      <c r="P337" s="11"/>
      <c r="Q337" s="11"/>
    </row>
    <row r="338" spans="1:17" x14ac:dyDescent="0.3">
      <c r="A338" s="8"/>
      <c r="D338" s="11"/>
      <c r="E338" s="11"/>
      <c r="G338" s="11"/>
      <c r="H338" s="11"/>
      <c r="I338" s="11"/>
      <c r="J338" s="11"/>
      <c r="K338" s="11"/>
      <c r="L338" s="10"/>
      <c r="M338" s="10"/>
      <c r="N338" s="11"/>
      <c r="O338" s="11"/>
      <c r="P338" s="11"/>
      <c r="Q338" s="11"/>
    </row>
    <row r="339" spans="1:17" x14ac:dyDescent="0.3">
      <c r="A339" s="8"/>
      <c r="D339" s="11"/>
      <c r="E339" s="11"/>
      <c r="G339" s="11"/>
      <c r="H339" s="11"/>
      <c r="I339" s="11"/>
      <c r="J339" s="11"/>
      <c r="K339" s="11"/>
      <c r="L339" s="10"/>
      <c r="M339" s="10"/>
      <c r="N339" s="11"/>
      <c r="O339" s="11"/>
      <c r="P339" s="11"/>
      <c r="Q339" s="11"/>
    </row>
    <row r="340" spans="1:17" x14ac:dyDescent="0.3">
      <c r="A340" s="8"/>
      <c r="D340" s="11"/>
      <c r="E340" s="11"/>
      <c r="G340" s="11"/>
      <c r="H340" s="11"/>
      <c r="I340" s="11"/>
      <c r="J340" s="11"/>
      <c r="K340" s="11"/>
      <c r="L340" s="10"/>
      <c r="M340" s="11"/>
      <c r="N340" s="10"/>
      <c r="O340" s="11"/>
      <c r="P340" s="11"/>
      <c r="Q340" s="11"/>
    </row>
    <row r="341" spans="1:17" x14ac:dyDescent="0.3">
      <c r="A341" s="8"/>
      <c r="D341" s="11"/>
      <c r="E341" s="11"/>
      <c r="G341" s="11"/>
      <c r="H341" s="11"/>
      <c r="I341" s="11"/>
      <c r="J341" s="11"/>
      <c r="K341" s="11"/>
      <c r="L341" s="10"/>
      <c r="M341" s="10"/>
      <c r="N341" s="11"/>
      <c r="O341" s="11"/>
      <c r="P341" s="11"/>
      <c r="Q341" s="11"/>
    </row>
    <row r="342" spans="1:17" x14ac:dyDescent="0.3">
      <c r="A342" s="8"/>
      <c r="D342" s="11"/>
      <c r="E342" s="11"/>
      <c r="G342" s="11"/>
      <c r="H342" s="11"/>
      <c r="I342" s="11"/>
      <c r="J342" s="11"/>
      <c r="K342" s="11"/>
      <c r="L342" s="10"/>
      <c r="M342" s="10"/>
      <c r="N342" s="11"/>
      <c r="O342" s="11"/>
      <c r="P342" s="11"/>
      <c r="Q342" s="11"/>
    </row>
    <row r="343" spans="1:17" x14ac:dyDescent="0.3">
      <c r="A343" s="8"/>
      <c r="D343" s="11"/>
      <c r="E343" s="11"/>
      <c r="G343" s="11"/>
      <c r="H343" s="11"/>
      <c r="I343" s="11"/>
      <c r="J343" s="11"/>
      <c r="K343" s="11"/>
      <c r="L343" s="11"/>
      <c r="M343" s="11"/>
      <c r="N343" s="10"/>
      <c r="O343" s="11"/>
      <c r="P343" s="11"/>
      <c r="Q343" s="11"/>
    </row>
    <row r="344" spans="1:17" x14ac:dyDescent="0.3">
      <c r="A344" s="8"/>
      <c r="D344" s="11"/>
      <c r="E344" s="11"/>
      <c r="G344" s="11"/>
      <c r="H344" s="11"/>
      <c r="I344" s="11"/>
      <c r="J344" s="11"/>
      <c r="K344" s="11"/>
      <c r="L344" s="11"/>
      <c r="M344" s="11"/>
      <c r="N344" s="10"/>
      <c r="O344" s="11"/>
      <c r="P344" s="11"/>
      <c r="Q344" s="11"/>
    </row>
    <row r="345" spans="1:17" x14ac:dyDescent="0.3">
      <c r="A345" s="8"/>
      <c r="D345" s="11"/>
      <c r="E345" s="11"/>
      <c r="G345" s="11"/>
      <c r="H345" s="11"/>
      <c r="I345" s="11"/>
      <c r="J345" s="11"/>
      <c r="K345" s="11"/>
      <c r="L345" s="10"/>
      <c r="M345" s="10"/>
      <c r="N345" s="11"/>
      <c r="O345" s="11"/>
      <c r="P345" s="11"/>
      <c r="Q345" s="11"/>
    </row>
    <row r="346" spans="1:17" x14ac:dyDescent="0.3">
      <c r="A346" s="8"/>
      <c r="D346" s="11"/>
      <c r="E346" s="11"/>
      <c r="G346" s="11"/>
      <c r="H346" s="11"/>
      <c r="I346" s="11"/>
      <c r="J346" s="11"/>
      <c r="K346" s="11"/>
      <c r="L346" s="10"/>
      <c r="M346" s="10"/>
      <c r="N346" s="11"/>
      <c r="O346" s="11"/>
      <c r="P346" s="11"/>
      <c r="Q346" s="11"/>
    </row>
    <row r="347" spans="1:17" x14ac:dyDescent="0.3">
      <c r="A347" s="8"/>
      <c r="D347" s="11"/>
      <c r="E347" s="11"/>
      <c r="G347" s="11"/>
      <c r="H347" s="11"/>
      <c r="I347" s="11"/>
      <c r="J347" s="11"/>
      <c r="K347" s="11"/>
      <c r="L347" s="11"/>
      <c r="M347" s="11"/>
      <c r="N347" s="10"/>
      <c r="O347" s="11"/>
      <c r="P347" s="11"/>
      <c r="Q347" s="11"/>
    </row>
    <row r="348" spans="1:17" x14ac:dyDescent="0.3">
      <c r="A348" s="8"/>
      <c r="D348" s="11"/>
      <c r="E348" s="11"/>
      <c r="G348" s="11"/>
      <c r="H348" s="11"/>
      <c r="I348" s="11"/>
      <c r="J348" s="11"/>
      <c r="K348" s="11"/>
      <c r="L348" s="11"/>
      <c r="M348" s="11"/>
      <c r="N348" s="10"/>
      <c r="O348" s="11"/>
      <c r="P348" s="11"/>
      <c r="Q348" s="11"/>
    </row>
    <row r="349" spans="1:17" x14ac:dyDescent="0.3">
      <c r="A349" s="8"/>
      <c r="D349" s="11"/>
      <c r="E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</row>
    <row r="350" spans="1:17" x14ac:dyDescent="0.3">
      <c r="A350" s="8"/>
      <c r="D350" s="11"/>
      <c r="E350" s="11"/>
      <c r="G350" s="22"/>
      <c r="H350" s="11"/>
      <c r="I350" s="11"/>
      <c r="J350" s="11"/>
      <c r="K350" s="11"/>
      <c r="L350" s="11"/>
      <c r="M350" s="11"/>
      <c r="N350" s="10"/>
      <c r="O350" s="11"/>
      <c r="P350" s="11"/>
      <c r="Q350" s="11"/>
    </row>
    <row r="351" spans="1:17" x14ac:dyDescent="0.3">
      <c r="A351" s="8"/>
      <c r="D351" s="11"/>
      <c r="E351" s="11"/>
      <c r="G351" s="11"/>
      <c r="H351" s="11"/>
      <c r="I351" s="11"/>
      <c r="J351" s="11"/>
      <c r="K351" s="11"/>
      <c r="L351" s="10"/>
      <c r="M351" s="10"/>
      <c r="N351" s="11"/>
      <c r="O351" s="11"/>
      <c r="P351" s="11"/>
      <c r="Q351" s="11"/>
    </row>
    <row r="352" spans="1:17" x14ac:dyDescent="0.3">
      <c r="A352" s="8"/>
      <c r="D352" s="11"/>
      <c r="E352" s="11"/>
      <c r="G352" s="11"/>
      <c r="H352" s="11"/>
      <c r="I352" s="11"/>
      <c r="J352" s="11"/>
      <c r="K352" s="11"/>
      <c r="L352" s="11"/>
      <c r="M352" s="11"/>
      <c r="N352" s="10"/>
      <c r="O352" s="11"/>
      <c r="P352" s="11"/>
      <c r="Q352" s="11"/>
    </row>
    <row r="353" spans="1:17" x14ac:dyDescent="0.3">
      <c r="A353" s="8"/>
      <c r="D353" s="11"/>
      <c r="E353" s="11"/>
      <c r="G353" s="11"/>
      <c r="H353" s="11"/>
      <c r="I353" s="11"/>
      <c r="J353" s="11"/>
      <c r="K353" s="11"/>
      <c r="L353" s="11"/>
      <c r="M353" s="11"/>
      <c r="N353" s="10"/>
      <c r="O353" s="11"/>
      <c r="P353" s="11"/>
      <c r="Q353" s="11"/>
    </row>
    <row r="354" spans="1:17" x14ac:dyDescent="0.3">
      <c r="A354" s="8"/>
      <c r="D354" s="11"/>
      <c r="E354" s="11"/>
      <c r="G354" s="11"/>
      <c r="H354" s="11"/>
      <c r="I354" s="11"/>
      <c r="J354" s="11"/>
      <c r="K354" s="11"/>
      <c r="L354" s="10"/>
      <c r="M354" s="10"/>
      <c r="N354" s="11"/>
      <c r="O354" s="11"/>
      <c r="P354" s="11"/>
      <c r="Q354" s="11"/>
    </row>
    <row r="355" spans="1:17" x14ac:dyDescent="0.3">
      <c r="A355" s="8"/>
      <c r="D355" s="11"/>
      <c r="E355" s="11"/>
      <c r="G355" s="11"/>
      <c r="H355" s="11"/>
      <c r="I355" s="11"/>
      <c r="J355" s="11"/>
      <c r="K355" s="11"/>
      <c r="L355" s="11"/>
      <c r="M355" s="11"/>
      <c r="N355" s="10"/>
      <c r="O355" s="11"/>
      <c r="P355" s="11"/>
      <c r="Q355" s="11"/>
    </row>
    <row r="356" spans="1:17" x14ac:dyDescent="0.3">
      <c r="A356" s="8"/>
      <c r="D356" s="11"/>
      <c r="E356" s="11"/>
      <c r="G356" s="11"/>
      <c r="H356" s="11"/>
      <c r="I356" s="11"/>
      <c r="J356" s="11"/>
      <c r="K356" s="11"/>
      <c r="L356" s="11"/>
      <c r="M356" s="11"/>
      <c r="N356" s="10"/>
      <c r="O356" s="11"/>
      <c r="P356" s="11"/>
      <c r="Q356" s="11"/>
    </row>
    <row r="357" spans="1:17" x14ac:dyDescent="0.3">
      <c r="A357" s="8"/>
      <c r="D357" s="11"/>
      <c r="E357" s="11"/>
      <c r="G357" s="11"/>
      <c r="H357" s="11"/>
      <c r="I357" s="11"/>
      <c r="J357" s="11"/>
      <c r="K357" s="11"/>
      <c r="L357" s="11"/>
      <c r="M357" s="11"/>
      <c r="N357" s="10"/>
      <c r="O357" s="11"/>
      <c r="P357" s="11"/>
      <c r="Q357" s="11"/>
    </row>
    <row r="358" spans="1:17" x14ac:dyDescent="0.3">
      <c r="A358" s="8"/>
      <c r="D358" s="11"/>
      <c r="E358" s="11"/>
      <c r="G358" s="11"/>
      <c r="H358" s="11"/>
      <c r="I358" s="11"/>
      <c r="J358" s="11"/>
      <c r="K358" s="11"/>
      <c r="L358" s="11"/>
      <c r="M358" s="11"/>
      <c r="N358" s="10"/>
      <c r="O358" s="11"/>
      <c r="P358" s="11"/>
      <c r="Q358" s="11"/>
    </row>
    <row r="359" spans="1:17" x14ac:dyDescent="0.3">
      <c r="A359" s="8"/>
      <c r="D359" s="11"/>
      <c r="E359" s="11"/>
      <c r="G359" s="11"/>
      <c r="H359" s="11"/>
      <c r="I359" s="11"/>
      <c r="J359" s="11"/>
      <c r="K359" s="11"/>
      <c r="L359" s="10"/>
      <c r="M359" s="10"/>
      <c r="N359" s="11"/>
      <c r="O359" s="10"/>
      <c r="P359" s="11"/>
      <c r="Q359" s="11"/>
    </row>
    <row r="360" spans="1:17" x14ac:dyDescent="0.3">
      <c r="A360" s="8"/>
      <c r="D360" s="11"/>
      <c r="E360" s="11"/>
      <c r="G360" s="11"/>
      <c r="H360" s="11"/>
      <c r="I360" s="11"/>
      <c r="J360" s="11"/>
      <c r="K360" s="11"/>
      <c r="L360" s="10"/>
      <c r="M360" s="10"/>
      <c r="N360" s="11"/>
      <c r="O360" s="11"/>
      <c r="P360" s="11"/>
      <c r="Q360" s="11"/>
    </row>
    <row r="361" spans="1:17" x14ac:dyDescent="0.3">
      <c r="A361" s="8"/>
      <c r="D361" s="11"/>
      <c r="E361" s="11"/>
      <c r="G361" s="11"/>
      <c r="H361" s="11"/>
      <c r="I361" s="11"/>
      <c r="J361" s="11"/>
      <c r="K361" s="11"/>
      <c r="L361" s="11"/>
      <c r="M361" s="11"/>
      <c r="N361" s="10"/>
      <c r="O361" s="11"/>
      <c r="P361" s="11"/>
      <c r="Q361" s="11"/>
    </row>
    <row r="362" spans="1:17" x14ac:dyDescent="0.3">
      <c r="A362" s="8"/>
      <c r="D362" s="11"/>
      <c r="E362" s="11"/>
      <c r="G362" s="11"/>
      <c r="H362" s="11"/>
      <c r="I362" s="11"/>
      <c r="J362" s="11"/>
      <c r="K362" s="11"/>
      <c r="L362" s="11"/>
      <c r="M362" s="11"/>
      <c r="N362" s="10"/>
      <c r="O362" s="11"/>
      <c r="P362" s="11"/>
      <c r="Q362" s="11"/>
    </row>
    <row r="363" spans="1:17" x14ac:dyDescent="0.3">
      <c r="A363" s="8"/>
      <c r="D363" s="11"/>
      <c r="E363" s="11"/>
      <c r="G363" s="11"/>
      <c r="H363" s="11"/>
      <c r="I363" s="11"/>
      <c r="J363" s="11"/>
      <c r="K363" s="11"/>
      <c r="L363" s="11"/>
      <c r="M363" s="11"/>
      <c r="N363" s="10"/>
      <c r="O363" s="11"/>
      <c r="P363" s="11"/>
      <c r="Q363" s="11"/>
    </row>
    <row r="364" spans="1:17" x14ac:dyDescent="0.3">
      <c r="A364" s="8"/>
      <c r="D364" s="11"/>
      <c r="E364" s="11"/>
      <c r="G364" s="11"/>
      <c r="H364" s="11"/>
      <c r="I364" s="11"/>
      <c r="J364" s="11"/>
      <c r="K364" s="11"/>
      <c r="L364" s="10"/>
      <c r="M364" s="10"/>
      <c r="N364" s="11"/>
      <c r="O364" s="11"/>
      <c r="P364" s="11"/>
      <c r="Q364" s="11"/>
    </row>
    <row r="365" spans="1:17" x14ac:dyDescent="0.3">
      <c r="A365" s="8"/>
      <c r="D365" s="11"/>
      <c r="E365" s="11"/>
      <c r="G365" s="11"/>
      <c r="H365" s="11"/>
      <c r="I365" s="11"/>
      <c r="J365" s="11"/>
      <c r="K365" s="11"/>
      <c r="L365" s="10"/>
      <c r="M365" s="10"/>
      <c r="N365" s="11"/>
      <c r="O365" s="11"/>
      <c r="P365" s="11"/>
      <c r="Q365" s="11"/>
    </row>
    <row r="366" spans="1:17" x14ac:dyDescent="0.3">
      <c r="A366" s="8"/>
      <c r="D366" s="11"/>
      <c r="E366" s="11"/>
      <c r="G366" s="11"/>
      <c r="H366" s="11"/>
      <c r="I366" s="11"/>
      <c r="J366" s="11"/>
      <c r="K366" s="11"/>
      <c r="L366" s="11"/>
      <c r="M366" s="11"/>
      <c r="N366" s="10"/>
      <c r="O366" s="11"/>
      <c r="P366" s="11"/>
      <c r="Q366" s="11"/>
    </row>
    <row r="367" spans="1:17" x14ac:dyDescent="0.3">
      <c r="A367" s="8"/>
      <c r="D367" s="11"/>
      <c r="E367" s="11"/>
      <c r="G367" s="11"/>
      <c r="H367" s="11"/>
      <c r="I367" s="11"/>
      <c r="J367" s="11"/>
      <c r="K367" s="11"/>
      <c r="L367" s="11"/>
      <c r="M367" s="11"/>
      <c r="N367" s="10"/>
      <c r="O367" s="11"/>
      <c r="P367" s="11"/>
      <c r="Q367" s="11"/>
    </row>
    <row r="368" spans="1:17" x14ac:dyDescent="0.3">
      <c r="A368" s="8"/>
      <c r="D368" s="11"/>
      <c r="E368" s="11"/>
      <c r="G368" s="11"/>
      <c r="H368" s="11"/>
      <c r="I368" s="11"/>
      <c r="J368" s="11"/>
      <c r="K368" s="11"/>
      <c r="L368" s="11"/>
      <c r="M368" s="11"/>
      <c r="N368" s="10"/>
      <c r="O368" s="11"/>
      <c r="P368" s="11"/>
      <c r="Q368" s="11"/>
    </row>
    <row r="369" spans="1:17" x14ac:dyDescent="0.3">
      <c r="A369" s="8"/>
      <c r="D369" s="11"/>
      <c r="E369" s="11"/>
      <c r="G369" s="11"/>
      <c r="H369" s="11"/>
      <c r="I369" s="11"/>
      <c r="J369" s="11"/>
      <c r="K369" s="11"/>
      <c r="L369" s="11"/>
      <c r="M369" s="11"/>
      <c r="N369" s="10"/>
      <c r="O369" s="11"/>
      <c r="P369" s="11"/>
      <c r="Q369" s="11"/>
    </row>
    <row r="370" spans="1:17" x14ac:dyDescent="0.3">
      <c r="A370" s="8"/>
      <c r="B370" s="10"/>
      <c r="D370" s="11"/>
      <c r="E370" s="11"/>
      <c r="F370" s="10"/>
      <c r="G370" s="11"/>
      <c r="H370" s="11"/>
      <c r="I370" s="11"/>
      <c r="J370" s="11"/>
      <c r="K370" s="11"/>
      <c r="L370" s="11"/>
      <c r="M370" s="11"/>
      <c r="N370" s="10"/>
      <c r="O370" s="11"/>
      <c r="P370" s="11"/>
      <c r="Q370" s="11"/>
    </row>
    <row r="371" spans="1:17" x14ac:dyDescent="0.3">
      <c r="A371" s="8"/>
      <c r="B371" s="10"/>
      <c r="D371" s="11"/>
      <c r="E371" s="11"/>
      <c r="F371" s="10"/>
      <c r="G371" s="11"/>
      <c r="H371" s="11"/>
      <c r="I371" s="11"/>
      <c r="J371" s="11"/>
      <c r="K371" s="11"/>
      <c r="L371" s="10"/>
      <c r="M371" s="10"/>
      <c r="N371" s="11"/>
      <c r="O371" s="11"/>
      <c r="P371" s="11"/>
      <c r="Q371" s="11"/>
    </row>
    <row r="372" spans="1:17" x14ac:dyDescent="0.3">
      <c r="A372" s="8"/>
      <c r="B372" s="10"/>
      <c r="D372" s="11"/>
      <c r="E372" s="11"/>
      <c r="F372" s="10"/>
      <c r="G372" s="11"/>
      <c r="H372" s="11"/>
      <c r="I372" s="11"/>
      <c r="J372" s="11"/>
      <c r="K372" s="11"/>
      <c r="L372" s="11"/>
      <c r="M372" s="11"/>
      <c r="N372" s="10"/>
      <c r="O372" s="11"/>
      <c r="P372" s="11"/>
      <c r="Q372" s="11"/>
    </row>
    <row r="373" spans="1:17" x14ac:dyDescent="0.3">
      <c r="A373" s="8"/>
      <c r="B373" s="10"/>
      <c r="D373" s="11"/>
      <c r="E373" s="11"/>
      <c r="F373" s="10"/>
      <c r="G373" s="11"/>
      <c r="H373" s="11"/>
      <c r="I373" s="11"/>
      <c r="J373" s="11"/>
      <c r="K373" s="11"/>
      <c r="L373" s="10"/>
      <c r="M373" s="10"/>
      <c r="N373" s="11"/>
      <c r="O373" s="11"/>
      <c r="P373" s="11"/>
      <c r="Q373" s="11"/>
    </row>
    <row r="374" spans="1:17" x14ac:dyDescent="0.3">
      <c r="A374" s="8"/>
      <c r="B374" s="10"/>
      <c r="D374" s="11"/>
      <c r="E374" s="11"/>
      <c r="F374" s="10"/>
      <c r="G374" s="11"/>
      <c r="H374" s="11"/>
      <c r="I374" s="11"/>
      <c r="J374" s="11"/>
      <c r="K374" s="11"/>
      <c r="L374" s="10"/>
      <c r="M374" s="10"/>
      <c r="N374" s="11"/>
      <c r="O374" s="11"/>
      <c r="P374" s="11"/>
      <c r="Q374" s="11"/>
    </row>
    <row r="375" spans="1:17" x14ac:dyDescent="0.3">
      <c r="A375" s="8"/>
      <c r="B375" s="10"/>
      <c r="D375" s="11"/>
      <c r="E375" s="11"/>
      <c r="F375" s="10"/>
      <c r="G375" s="11"/>
      <c r="H375" s="11"/>
      <c r="I375" s="11"/>
      <c r="J375" s="11"/>
      <c r="K375" s="11"/>
      <c r="L375" s="10"/>
      <c r="M375" s="10"/>
      <c r="N375" s="11"/>
      <c r="O375" s="11"/>
      <c r="P375" s="11"/>
      <c r="Q375" s="11"/>
    </row>
    <row r="376" spans="1:17" x14ac:dyDescent="0.3">
      <c r="A376" s="8"/>
      <c r="B376" s="10"/>
      <c r="D376" s="11"/>
      <c r="E376" s="11"/>
      <c r="F376" s="10"/>
      <c r="G376" s="11"/>
      <c r="H376" s="11"/>
      <c r="I376" s="11"/>
      <c r="J376" s="11"/>
      <c r="K376" s="11"/>
      <c r="L376" s="10"/>
      <c r="M376" s="10"/>
      <c r="N376" s="11"/>
      <c r="O376" s="11"/>
      <c r="P376" s="11"/>
      <c r="Q376" s="11"/>
    </row>
    <row r="377" spans="1:17" x14ac:dyDescent="0.3">
      <c r="A377" s="8"/>
      <c r="B377" s="10"/>
      <c r="D377" s="11"/>
      <c r="E377" s="11"/>
      <c r="F377" s="10"/>
      <c r="G377" s="11"/>
      <c r="H377" s="11"/>
      <c r="I377" s="11"/>
      <c r="J377" s="11"/>
      <c r="K377" s="11"/>
      <c r="L377" s="10"/>
      <c r="M377" s="10"/>
      <c r="N377" s="11"/>
      <c r="O377" s="11"/>
      <c r="P377" s="11"/>
      <c r="Q377" s="11"/>
    </row>
    <row r="378" spans="1:17" x14ac:dyDescent="0.3">
      <c r="A378" s="8"/>
      <c r="B378" s="10"/>
      <c r="D378" s="11"/>
      <c r="E378" s="11"/>
      <c r="F378" s="10"/>
      <c r="G378" s="11"/>
      <c r="H378" s="11"/>
      <c r="I378" s="11"/>
      <c r="J378" s="11"/>
      <c r="K378" s="11"/>
      <c r="L378" s="10"/>
      <c r="M378" s="10"/>
      <c r="N378" s="11"/>
      <c r="O378" s="11"/>
      <c r="P378" s="11"/>
      <c r="Q378" s="11"/>
    </row>
    <row r="379" spans="1:17" x14ac:dyDescent="0.3">
      <c r="A379" s="8"/>
      <c r="B379" s="10"/>
      <c r="D379" s="11"/>
      <c r="E379" s="11"/>
      <c r="F379" s="10"/>
      <c r="G379" s="11"/>
      <c r="H379" s="11"/>
      <c r="I379" s="11"/>
      <c r="J379" s="11"/>
      <c r="K379" s="11"/>
      <c r="L379" s="10"/>
      <c r="M379" s="10"/>
      <c r="N379" s="11"/>
      <c r="O379" s="11"/>
      <c r="P379" s="11"/>
      <c r="Q379" s="11"/>
    </row>
    <row r="380" spans="1:17" x14ac:dyDescent="0.3">
      <c r="A380" s="8"/>
      <c r="B380" s="10"/>
      <c r="D380" s="11"/>
      <c r="E380" s="11"/>
      <c r="F380" s="10"/>
      <c r="G380" s="11"/>
      <c r="H380" s="11"/>
      <c r="I380" s="11"/>
      <c r="J380" s="11"/>
      <c r="K380" s="11"/>
      <c r="L380" s="10"/>
      <c r="M380" s="10"/>
      <c r="N380" s="11"/>
      <c r="O380" s="10"/>
      <c r="P380" s="11"/>
      <c r="Q380" s="11"/>
    </row>
    <row r="381" spans="1:17" x14ac:dyDescent="0.3">
      <c r="A381" s="8"/>
      <c r="B381" s="10"/>
      <c r="D381" s="11"/>
      <c r="E381" s="11"/>
      <c r="F381" s="10"/>
      <c r="G381" s="11"/>
      <c r="H381" s="11"/>
      <c r="I381" s="11"/>
      <c r="J381" s="11"/>
      <c r="K381" s="11"/>
      <c r="L381" s="10"/>
      <c r="M381" s="10"/>
      <c r="N381" s="11"/>
      <c r="O381" s="11"/>
      <c r="P381" s="11"/>
      <c r="Q381" s="11"/>
    </row>
    <row r="382" spans="1:17" x14ac:dyDescent="0.3">
      <c r="A382" s="8"/>
      <c r="B382" s="10"/>
      <c r="D382" s="11"/>
      <c r="E382" s="11"/>
      <c r="F382" s="10"/>
      <c r="G382" s="11"/>
      <c r="H382" s="11"/>
      <c r="I382" s="11"/>
      <c r="J382" s="11"/>
      <c r="K382" s="11"/>
      <c r="L382" s="10"/>
      <c r="M382" s="10"/>
      <c r="N382" s="11"/>
      <c r="O382" s="11"/>
      <c r="P382" s="11"/>
      <c r="Q382" s="11"/>
    </row>
    <row r="383" spans="1:17" x14ac:dyDescent="0.3">
      <c r="A383" s="8"/>
      <c r="B383" s="10"/>
      <c r="D383" s="11"/>
      <c r="E383" s="11"/>
      <c r="F383" s="10"/>
      <c r="G383" s="11"/>
      <c r="H383" s="11"/>
      <c r="I383" s="11"/>
      <c r="J383" s="11"/>
      <c r="K383" s="11"/>
      <c r="L383" s="10"/>
      <c r="M383" s="10"/>
      <c r="N383" s="11"/>
      <c r="O383" s="11"/>
      <c r="P383" s="11"/>
      <c r="Q383" s="11"/>
    </row>
    <row r="384" spans="1:17" x14ac:dyDescent="0.3">
      <c r="A384" s="8"/>
      <c r="B384" s="10"/>
      <c r="D384" s="11"/>
      <c r="E384" s="11"/>
      <c r="F384" s="10"/>
      <c r="G384" s="11"/>
      <c r="H384" s="11"/>
      <c r="I384" s="11"/>
      <c r="J384" s="11"/>
      <c r="K384" s="11"/>
      <c r="L384" s="10"/>
      <c r="M384" s="10"/>
      <c r="N384" s="11"/>
      <c r="O384" s="11"/>
      <c r="P384" s="11"/>
      <c r="Q384" s="11"/>
    </row>
    <row r="385" spans="1:17" x14ac:dyDescent="0.3">
      <c r="A385" s="8"/>
      <c r="B385" s="10"/>
      <c r="D385" s="11"/>
      <c r="E385" s="11"/>
      <c r="F385" s="10"/>
      <c r="G385" s="11"/>
      <c r="H385" s="11"/>
      <c r="I385" s="11"/>
      <c r="J385" s="11"/>
      <c r="K385" s="11"/>
      <c r="L385" s="10"/>
      <c r="M385" s="10"/>
      <c r="N385" s="11"/>
      <c r="O385" s="11"/>
      <c r="P385" s="11"/>
      <c r="Q385" s="11"/>
    </row>
    <row r="386" spans="1:17" x14ac:dyDescent="0.3">
      <c r="A386" s="8"/>
      <c r="B386" s="10"/>
      <c r="D386" s="11"/>
      <c r="E386" s="11"/>
      <c r="F386" s="10"/>
      <c r="G386" s="11"/>
      <c r="H386" s="11"/>
      <c r="I386" s="11"/>
      <c r="J386" s="11"/>
      <c r="K386" s="11"/>
      <c r="L386" s="11"/>
      <c r="M386" s="11"/>
      <c r="N386" s="10"/>
      <c r="O386" s="11"/>
      <c r="P386" s="11"/>
      <c r="Q386" s="11"/>
    </row>
    <row r="387" spans="1:17" x14ac:dyDescent="0.3">
      <c r="A387" s="8"/>
      <c r="B387" s="10"/>
      <c r="D387" s="11"/>
      <c r="E387" s="11"/>
      <c r="F387" s="10"/>
      <c r="G387" s="11"/>
      <c r="H387" s="11"/>
      <c r="I387" s="11"/>
      <c r="J387" s="11"/>
      <c r="K387" s="11"/>
      <c r="L387" s="10"/>
      <c r="M387" s="10"/>
      <c r="N387" s="11"/>
      <c r="O387" s="11"/>
      <c r="P387" s="11"/>
      <c r="Q387" s="11"/>
    </row>
    <row r="388" spans="1:17" x14ac:dyDescent="0.3">
      <c r="A388" s="8"/>
      <c r="B388" s="10"/>
      <c r="D388" s="11"/>
      <c r="E388" s="11"/>
      <c r="F388" s="10"/>
      <c r="G388" s="11"/>
      <c r="H388" s="11"/>
      <c r="I388" s="11"/>
      <c r="J388" s="11"/>
      <c r="K388" s="11"/>
      <c r="L388" s="10"/>
      <c r="M388" s="10"/>
      <c r="N388" s="11"/>
      <c r="O388" s="11"/>
      <c r="P388" s="11"/>
      <c r="Q388" s="11"/>
    </row>
    <row r="389" spans="1:17" x14ac:dyDescent="0.3">
      <c r="A389" s="8"/>
      <c r="B389" s="10"/>
      <c r="D389" s="11"/>
      <c r="E389" s="11"/>
      <c r="F389" s="10"/>
      <c r="H389" s="11"/>
      <c r="I389" s="11"/>
      <c r="J389" s="11"/>
      <c r="K389" s="11"/>
      <c r="L389" s="11"/>
      <c r="M389" s="11"/>
      <c r="N389" s="10"/>
      <c r="O389" s="11"/>
      <c r="P389" s="11"/>
      <c r="Q389" s="11"/>
    </row>
    <row r="390" spans="1:17" x14ac:dyDescent="0.3">
      <c r="A390" s="8"/>
      <c r="B390" s="10"/>
      <c r="D390" s="11"/>
      <c r="E390" s="11"/>
      <c r="F390" s="10"/>
      <c r="H390" s="11"/>
      <c r="I390" s="11"/>
      <c r="J390" s="11"/>
      <c r="K390" s="11"/>
      <c r="L390" s="11"/>
      <c r="M390" s="11"/>
      <c r="N390" s="10"/>
      <c r="O390" s="11"/>
      <c r="P390" s="11"/>
      <c r="Q390" s="11"/>
    </row>
    <row r="391" spans="1:17" x14ac:dyDescent="0.3">
      <c r="A391" s="8"/>
      <c r="B391" s="10"/>
      <c r="D391" s="11"/>
      <c r="E391" s="11"/>
      <c r="F391" s="10"/>
      <c r="G391" s="11"/>
      <c r="H391" s="11"/>
      <c r="I391" s="11"/>
      <c r="J391" s="11"/>
      <c r="K391" s="11"/>
      <c r="L391" s="11"/>
      <c r="M391" s="11"/>
      <c r="N391" s="10"/>
      <c r="O391" s="11"/>
      <c r="P391" s="11"/>
      <c r="Q391" s="11"/>
    </row>
    <row r="392" spans="1:17" x14ac:dyDescent="0.3">
      <c r="A392" s="8"/>
      <c r="B392" s="10"/>
      <c r="D392" s="11"/>
      <c r="E392" s="11"/>
      <c r="F392" s="10"/>
      <c r="G392" s="11"/>
      <c r="H392" s="11"/>
      <c r="I392" s="11"/>
      <c r="J392" s="11"/>
      <c r="K392" s="11"/>
      <c r="L392" s="11"/>
      <c r="M392" s="11"/>
      <c r="N392" s="10"/>
      <c r="O392" s="11"/>
      <c r="P392" s="11"/>
      <c r="Q392" s="11"/>
    </row>
    <row r="393" spans="1:17" x14ac:dyDescent="0.3">
      <c r="A393" s="8"/>
      <c r="B393" s="10"/>
      <c r="D393" s="11"/>
      <c r="E393" s="11"/>
      <c r="F393" s="10"/>
      <c r="G393" s="11"/>
      <c r="H393" s="11"/>
      <c r="I393" s="11"/>
      <c r="J393" s="11"/>
      <c r="K393" s="11"/>
      <c r="L393" s="11"/>
      <c r="M393" s="11"/>
      <c r="N393" s="10"/>
      <c r="O393" s="11"/>
      <c r="P393" s="11"/>
      <c r="Q393" s="11"/>
    </row>
    <row r="394" spans="1:17" x14ac:dyDescent="0.3">
      <c r="A394" s="8"/>
      <c r="B394" s="10"/>
      <c r="D394" s="11"/>
      <c r="E394" s="11"/>
      <c r="F394" s="10"/>
      <c r="G394" s="11"/>
      <c r="H394" s="11"/>
      <c r="I394" s="11"/>
      <c r="J394" s="11"/>
      <c r="K394" s="11"/>
      <c r="L394" s="11"/>
      <c r="M394" s="11"/>
      <c r="N394" s="10"/>
      <c r="O394" s="11"/>
      <c r="P394" s="11"/>
      <c r="Q394" s="11"/>
    </row>
    <row r="395" spans="1:17" x14ac:dyDescent="0.3">
      <c r="A395" s="8"/>
      <c r="B395" s="10"/>
      <c r="D395" s="11"/>
      <c r="E395" s="11"/>
      <c r="F395" s="10"/>
      <c r="G395" s="11"/>
      <c r="H395" s="11"/>
      <c r="I395" s="11"/>
      <c r="J395" s="11"/>
      <c r="K395" s="11"/>
      <c r="L395" s="11"/>
      <c r="M395" s="11"/>
      <c r="N395" s="10"/>
      <c r="O395" s="11"/>
      <c r="P395" s="11"/>
      <c r="Q395" s="11"/>
    </row>
    <row r="396" spans="1:17" x14ac:dyDescent="0.3">
      <c r="A396" s="8"/>
      <c r="B396" s="10"/>
      <c r="D396" s="10"/>
      <c r="E396" s="11"/>
      <c r="F396" s="10"/>
      <c r="G396" s="11"/>
      <c r="H396" s="11"/>
      <c r="I396" s="11"/>
      <c r="J396" s="11"/>
      <c r="K396" s="11"/>
      <c r="L396" s="10"/>
      <c r="M396" s="10"/>
      <c r="N396" s="11"/>
      <c r="O396" s="11"/>
      <c r="P396" s="11"/>
      <c r="Q396" s="11"/>
    </row>
    <row r="397" spans="1:17" x14ac:dyDescent="0.3">
      <c r="A397" s="8"/>
      <c r="B397" s="10"/>
      <c r="D397" s="11"/>
      <c r="E397" s="11"/>
      <c r="F397" s="10"/>
      <c r="G397" s="11"/>
      <c r="H397" s="11"/>
      <c r="I397" s="11"/>
      <c r="J397" s="11"/>
      <c r="K397" s="11"/>
      <c r="L397" s="10"/>
      <c r="M397" s="10"/>
      <c r="N397" s="11"/>
      <c r="O397" s="11"/>
      <c r="P397" s="11"/>
      <c r="Q397" s="11"/>
    </row>
    <row r="398" spans="1:17" x14ac:dyDescent="0.3">
      <c r="A398" s="8"/>
      <c r="B398" s="10"/>
      <c r="D398" s="11"/>
      <c r="E398" s="11"/>
      <c r="F398" s="10"/>
      <c r="G398" s="11"/>
      <c r="H398" s="11"/>
      <c r="I398" s="11"/>
      <c r="J398" s="11"/>
      <c r="K398" s="11"/>
      <c r="L398" s="10"/>
      <c r="M398" s="10"/>
      <c r="N398" s="11"/>
      <c r="O398" s="11"/>
      <c r="P398" s="11"/>
      <c r="Q398" s="11"/>
    </row>
    <row r="399" spans="1:17" x14ac:dyDescent="0.3">
      <c r="A399" s="8"/>
      <c r="B399" s="10"/>
      <c r="D399" s="11"/>
      <c r="E399" s="11"/>
      <c r="F399" s="10"/>
      <c r="G399" s="11"/>
      <c r="H399" s="11"/>
      <c r="I399" s="11"/>
      <c r="J399" s="11"/>
      <c r="K399" s="11"/>
      <c r="L399" s="10"/>
      <c r="M399" s="10"/>
      <c r="N399" s="11"/>
      <c r="O399" s="11"/>
      <c r="P399" s="11"/>
      <c r="Q399" s="11"/>
    </row>
    <row r="400" spans="1:17" x14ac:dyDescent="0.3">
      <c r="A400" s="8"/>
      <c r="B400" s="10"/>
      <c r="D400" s="11"/>
      <c r="E400" s="11"/>
      <c r="F400" s="10"/>
      <c r="G400" s="11"/>
      <c r="H400" s="11"/>
      <c r="I400" s="11"/>
      <c r="J400" s="11"/>
      <c r="K400" s="11"/>
      <c r="L400" s="10"/>
      <c r="M400" s="10"/>
      <c r="N400" s="11"/>
      <c r="O400" s="11"/>
      <c r="P400" s="11"/>
      <c r="Q400" s="11"/>
    </row>
    <row r="401" spans="1:17" x14ac:dyDescent="0.3">
      <c r="A401" s="8"/>
      <c r="B401" s="10"/>
      <c r="D401" s="11"/>
      <c r="E401" s="11"/>
      <c r="F401" s="10"/>
      <c r="G401" s="11"/>
      <c r="H401" s="11"/>
      <c r="I401" s="11"/>
      <c r="J401" s="11"/>
      <c r="K401" s="11"/>
      <c r="L401" s="10"/>
      <c r="M401" s="10"/>
      <c r="N401" s="11"/>
      <c r="O401" s="11"/>
      <c r="P401" s="11"/>
      <c r="Q401" s="11"/>
    </row>
    <row r="402" spans="1:17" x14ac:dyDescent="0.3">
      <c r="A402" s="8"/>
      <c r="B402" s="10"/>
      <c r="D402" s="11"/>
      <c r="E402" s="11"/>
      <c r="F402" s="10"/>
      <c r="G402" s="11"/>
      <c r="H402" s="11"/>
      <c r="I402" s="11"/>
      <c r="J402" s="11"/>
      <c r="K402" s="11"/>
      <c r="L402" s="10"/>
      <c r="M402" s="10"/>
      <c r="N402" s="11"/>
      <c r="O402" s="11"/>
      <c r="P402" s="11"/>
      <c r="Q402" s="11"/>
    </row>
    <row r="403" spans="1:17" x14ac:dyDescent="0.3">
      <c r="A403" s="8"/>
      <c r="B403" s="10"/>
      <c r="D403" s="11"/>
      <c r="E403" s="11"/>
      <c r="F403" s="10"/>
      <c r="G403" s="11"/>
      <c r="H403" s="11"/>
      <c r="I403" s="11"/>
      <c r="J403" s="11"/>
      <c r="K403" s="11"/>
      <c r="L403" s="11"/>
      <c r="M403" s="11"/>
      <c r="N403" s="10"/>
      <c r="O403" s="11"/>
      <c r="P403" s="11"/>
      <c r="Q403" s="11"/>
    </row>
    <row r="404" spans="1:17" x14ac:dyDescent="0.3">
      <c r="A404" s="8"/>
      <c r="B404" s="10"/>
      <c r="D404" s="11"/>
      <c r="E404" s="11"/>
      <c r="F404" s="10"/>
      <c r="G404" s="11"/>
      <c r="H404" s="11"/>
      <c r="I404" s="11"/>
      <c r="J404" s="11"/>
      <c r="K404" s="11"/>
      <c r="L404" s="10"/>
      <c r="M404" s="10"/>
      <c r="N404" s="11"/>
      <c r="O404" s="11"/>
      <c r="P404" s="11"/>
      <c r="Q404" s="11"/>
    </row>
    <row r="405" spans="1:17" x14ac:dyDescent="0.3">
      <c r="A405" s="8"/>
      <c r="B405" s="10"/>
      <c r="D405" s="11"/>
      <c r="E405" s="11"/>
      <c r="F405" s="10"/>
      <c r="G405" s="11"/>
      <c r="H405" s="11"/>
      <c r="I405" s="11"/>
      <c r="J405" s="11"/>
      <c r="K405" s="11"/>
      <c r="L405" s="11"/>
      <c r="M405" s="11"/>
      <c r="N405" s="10"/>
      <c r="O405" s="11"/>
      <c r="P405" s="11"/>
      <c r="Q405" s="11"/>
    </row>
    <row r="406" spans="1:17" x14ac:dyDescent="0.3">
      <c r="A406" s="8"/>
      <c r="B406" s="10"/>
      <c r="D406" s="11"/>
      <c r="E406" s="11"/>
      <c r="F406" s="10"/>
      <c r="G406" s="11"/>
      <c r="H406" s="11"/>
      <c r="I406" s="11"/>
      <c r="J406" s="11"/>
      <c r="K406" s="11"/>
      <c r="L406" s="11"/>
      <c r="M406" s="11"/>
      <c r="N406" s="10"/>
      <c r="O406" s="11"/>
      <c r="P406" s="11"/>
      <c r="Q406" s="11"/>
    </row>
    <row r="407" spans="1:17" x14ac:dyDescent="0.3">
      <c r="A407" s="8"/>
      <c r="B407" s="11"/>
      <c r="D407" s="11"/>
      <c r="E407" s="11"/>
      <c r="F407" s="11"/>
      <c r="G407" s="11"/>
      <c r="H407" s="11"/>
      <c r="I407" s="11"/>
      <c r="J407" s="11"/>
      <c r="K407" s="11"/>
      <c r="L407" s="10"/>
      <c r="M407" s="10"/>
      <c r="N407" s="11"/>
      <c r="O407" s="11"/>
      <c r="P407" s="11"/>
      <c r="Q407" s="11"/>
    </row>
    <row r="408" spans="1:17" x14ac:dyDescent="0.3">
      <c r="A408" s="8"/>
      <c r="B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0"/>
      <c r="O408" s="11"/>
      <c r="P408" s="11"/>
      <c r="Q408" s="11"/>
    </row>
    <row r="409" spans="1:17" x14ac:dyDescent="0.3">
      <c r="A409" s="8"/>
      <c r="B409" s="11"/>
      <c r="D409" s="11"/>
      <c r="E409" s="11"/>
      <c r="F409" s="10"/>
      <c r="G409" s="11"/>
      <c r="H409" s="11"/>
      <c r="I409" s="11"/>
      <c r="J409" s="11"/>
      <c r="K409" s="11"/>
      <c r="L409" s="11"/>
      <c r="M409" s="11"/>
      <c r="N409" s="10"/>
      <c r="O409" s="11"/>
      <c r="P409" s="11"/>
      <c r="Q409" s="11"/>
    </row>
    <row r="410" spans="1:17" x14ac:dyDescent="0.3">
      <c r="A410" s="8"/>
      <c r="B410" s="10"/>
      <c r="D410" s="11"/>
      <c r="E410" s="11"/>
      <c r="F410" s="10"/>
      <c r="G410" s="11"/>
      <c r="H410" s="11"/>
      <c r="I410" s="11"/>
      <c r="J410" s="11"/>
      <c r="K410" s="11"/>
      <c r="L410" s="10"/>
      <c r="M410" s="10"/>
      <c r="N410" s="11"/>
      <c r="O410" s="11"/>
      <c r="P410" s="11"/>
      <c r="Q410" s="11"/>
    </row>
    <row r="411" spans="1:17" x14ac:dyDescent="0.3">
      <c r="A411" s="8"/>
      <c r="B411" s="10"/>
      <c r="D411" s="11"/>
      <c r="E411" s="11"/>
      <c r="F411" s="10"/>
      <c r="G411" s="11"/>
      <c r="H411" s="11"/>
      <c r="I411" s="11"/>
      <c r="J411" s="11"/>
      <c r="K411" s="11"/>
      <c r="L411" s="10"/>
      <c r="M411" s="10"/>
      <c r="N411" s="11"/>
      <c r="O411" s="11"/>
      <c r="P411" s="11"/>
      <c r="Q411" s="11"/>
    </row>
    <row r="412" spans="1:17" x14ac:dyDescent="0.3">
      <c r="A412" s="8"/>
      <c r="B412" s="10"/>
      <c r="D412" s="11"/>
      <c r="E412" s="11"/>
      <c r="F412" s="10"/>
      <c r="G412" s="11"/>
      <c r="H412" s="11"/>
      <c r="I412" s="11"/>
      <c r="J412" s="11"/>
      <c r="K412" s="11"/>
      <c r="L412" s="10"/>
      <c r="M412" s="10"/>
      <c r="N412" s="11"/>
      <c r="O412" s="11"/>
      <c r="P412" s="11"/>
      <c r="Q412" s="11"/>
    </row>
    <row r="413" spans="1:17" x14ac:dyDescent="0.3">
      <c r="A413" s="8"/>
      <c r="B413" s="10"/>
      <c r="D413" s="11"/>
      <c r="E413" s="11"/>
      <c r="F413" s="10"/>
      <c r="G413" s="11"/>
      <c r="H413" s="11"/>
      <c r="I413" s="11"/>
      <c r="J413" s="11"/>
      <c r="K413" s="11"/>
      <c r="L413" s="10"/>
      <c r="M413" s="10"/>
      <c r="N413" s="11"/>
      <c r="O413" s="11"/>
      <c r="P413" s="11"/>
      <c r="Q413" s="11"/>
    </row>
    <row r="414" spans="1:17" x14ac:dyDescent="0.3">
      <c r="A414" s="8"/>
      <c r="B414" s="10"/>
      <c r="D414" s="10"/>
      <c r="E414" s="11"/>
      <c r="F414" s="10"/>
      <c r="G414" s="11"/>
      <c r="H414" s="10"/>
      <c r="I414" s="11"/>
      <c r="J414" s="11"/>
      <c r="K414" s="11"/>
      <c r="L414" s="10"/>
      <c r="M414" s="10"/>
      <c r="N414" s="10"/>
      <c r="O414" s="11"/>
      <c r="P414" s="11"/>
      <c r="Q414" s="11"/>
    </row>
    <row r="415" spans="1:17" x14ac:dyDescent="0.3">
      <c r="A415" s="8"/>
      <c r="B415" s="10"/>
      <c r="D415" s="11"/>
      <c r="E415" s="11"/>
      <c r="F415" s="10"/>
      <c r="G415" s="11"/>
      <c r="H415" s="11"/>
      <c r="I415" s="11"/>
      <c r="J415" s="11"/>
      <c r="K415" s="11"/>
      <c r="L415" s="10"/>
      <c r="M415" s="10"/>
      <c r="N415" s="11"/>
      <c r="O415" s="11"/>
      <c r="P415" s="11"/>
      <c r="Q415" s="11"/>
    </row>
    <row r="416" spans="1:17" x14ac:dyDescent="0.3">
      <c r="A416" s="8"/>
      <c r="B416" s="10"/>
      <c r="D416" s="11"/>
      <c r="E416" s="11"/>
      <c r="F416" s="10"/>
      <c r="G416" s="11"/>
      <c r="H416" s="11"/>
      <c r="I416" s="11"/>
      <c r="J416" s="11"/>
      <c r="K416" s="11"/>
      <c r="L416" s="10"/>
      <c r="M416" s="10"/>
      <c r="N416" s="11"/>
      <c r="O416" s="11"/>
      <c r="P416" s="11"/>
      <c r="Q416" s="11"/>
    </row>
    <row r="417" spans="1:17" x14ac:dyDescent="0.3">
      <c r="A417" s="8"/>
      <c r="B417" s="10"/>
      <c r="D417" s="10"/>
      <c r="E417" s="11"/>
      <c r="F417" s="10"/>
      <c r="G417" s="11"/>
      <c r="H417" s="11"/>
      <c r="I417" s="11"/>
      <c r="J417" s="11"/>
      <c r="K417" s="11"/>
      <c r="L417" s="10"/>
      <c r="M417" s="10"/>
      <c r="N417" s="11"/>
      <c r="O417" s="11"/>
      <c r="P417" s="11"/>
      <c r="Q417" s="11"/>
    </row>
    <row r="418" spans="1:17" x14ac:dyDescent="0.3">
      <c r="A418" s="8"/>
      <c r="B418" s="10"/>
      <c r="D418" s="11"/>
      <c r="E418" s="11"/>
      <c r="F418" s="10"/>
      <c r="G418" s="11"/>
      <c r="H418" s="11"/>
      <c r="I418" s="11"/>
      <c r="J418" s="11"/>
      <c r="K418" s="11"/>
      <c r="L418" s="10"/>
      <c r="M418" s="10"/>
      <c r="N418" s="11"/>
      <c r="O418" s="11"/>
      <c r="P418" s="11"/>
      <c r="Q418" s="11"/>
    </row>
    <row r="419" spans="1:17" x14ac:dyDescent="0.3">
      <c r="A419" s="8"/>
      <c r="B419" s="10"/>
      <c r="D419" s="11"/>
      <c r="E419" s="11"/>
      <c r="F419" s="10"/>
      <c r="G419" s="11"/>
      <c r="H419" s="11"/>
      <c r="I419" s="11"/>
      <c r="J419" s="11"/>
      <c r="K419" s="11"/>
      <c r="L419" s="11"/>
      <c r="M419" s="11"/>
      <c r="N419" s="10"/>
      <c r="O419" s="11"/>
      <c r="P419" s="11"/>
      <c r="Q419" s="11"/>
    </row>
    <row r="420" spans="1:17" x14ac:dyDescent="0.3">
      <c r="A420" s="8"/>
      <c r="B420" s="10"/>
      <c r="D420" s="11"/>
      <c r="E420" s="11"/>
      <c r="F420" s="10"/>
      <c r="G420" s="11"/>
      <c r="H420" s="11"/>
      <c r="I420" s="11"/>
      <c r="J420" s="11"/>
      <c r="K420" s="11"/>
      <c r="L420" s="11"/>
      <c r="M420" s="11"/>
      <c r="N420" s="10"/>
      <c r="O420" s="11"/>
      <c r="P420" s="11"/>
      <c r="Q420" s="11"/>
    </row>
    <row r="421" spans="1:17" x14ac:dyDescent="0.3">
      <c r="A421" s="8"/>
      <c r="B421" s="10"/>
      <c r="D421" s="11"/>
      <c r="E421" s="11"/>
      <c r="F421" s="10"/>
      <c r="G421" s="11"/>
      <c r="H421" s="11"/>
      <c r="I421" s="11"/>
      <c r="J421" s="11"/>
      <c r="K421" s="11"/>
      <c r="L421" s="10"/>
      <c r="M421" s="10"/>
      <c r="N421" s="11"/>
      <c r="O421" s="11"/>
      <c r="P421" s="11"/>
      <c r="Q421" s="11"/>
    </row>
    <row r="422" spans="1:17" x14ac:dyDescent="0.3">
      <c r="A422" s="8"/>
      <c r="B422" s="10"/>
      <c r="D422" s="11"/>
      <c r="E422" s="11"/>
      <c r="F422" s="10"/>
      <c r="G422" s="11"/>
      <c r="H422" s="11"/>
      <c r="I422" s="11"/>
      <c r="J422" s="11"/>
      <c r="K422" s="11"/>
      <c r="L422" s="10"/>
      <c r="M422" s="10"/>
      <c r="N422" s="11"/>
      <c r="O422" s="11"/>
      <c r="P422" s="11"/>
      <c r="Q422" s="11"/>
    </row>
    <row r="423" spans="1:17" x14ac:dyDescent="0.3">
      <c r="A423" s="8"/>
      <c r="B423" s="10"/>
      <c r="D423" s="11"/>
      <c r="E423" s="11"/>
      <c r="F423" s="10"/>
      <c r="G423" s="11"/>
      <c r="H423" s="11"/>
      <c r="I423" s="11"/>
      <c r="J423" s="11"/>
      <c r="K423" s="11"/>
      <c r="L423" s="11"/>
      <c r="M423" s="11"/>
      <c r="N423" s="10"/>
      <c r="O423" s="11"/>
      <c r="P423" s="11"/>
      <c r="Q423" s="11"/>
    </row>
    <row r="424" spans="1:17" x14ac:dyDescent="0.3">
      <c r="A424" s="8"/>
      <c r="B424" s="10"/>
      <c r="D424" s="11"/>
      <c r="E424" s="11"/>
      <c r="F424" s="10"/>
      <c r="G424" s="11"/>
      <c r="H424" s="11"/>
      <c r="I424" s="11"/>
      <c r="J424" s="11"/>
      <c r="K424" s="11"/>
      <c r="L424" s="11"/>
      <c r="M424" s="11"/>
      <c r="N424" s="10"/>
      <c r="O424" s="11"/>
      <c r="P424" s="11"/>
      <c r="Q424" s="11"/>
    </row>
    <row r="425" spans="1:17" x14ac:dyDescent="0.3">
      <c r="A425" s="8"/>
      <c r="B425" s="10"/>
      <c r="D425" s="11"/>
      <c r="E425" s="11"/>
      <c r="F425" s="10"/>
      <c r="G425" s="11"/>
      <c r="H425" s="11"/>
      <c r="I425" s="11"/>
      <c r="J425" s="11"/>
      <c r="K425" s="11"/>
      <c r="L425" s="10"/>
      <c r="M425" s="10"/>
      <c r="N425" s="11"/>
      <c r="O425" s="11"/>
      <c r="P425" s="11"/>
      <c r="Q425" s="11"/>
    </row>
    <row r="426" spans="1:17" x14ac:dyDescent="0.3">
      <c r="A426" s="8"/>
      <c r="B426" s="10"/>
      <c r="D426" s="11"/>
      <c r="E426" s="11"/>
      <c r="F426" s="10"/>
      <c r="G426" s="11"/>
      <c r="H426" s="11"/>
      <c r="I426" s="11"/>
      <c r="J426" s="11"/>
      <c r="K426" s="11"/>
      <c r="L426" s="10"/>
      <c r="M426" s="10"/>
      <c r="N426" s="11"/>
      <c r="O426" s="11"/>
      <c r="P426" s="11"/>
      <c r="Q426" s="11"/>
    </row>
    <row r="427" spans="1:17" x14ac:dyDescent="0.3">
      <c r="A427" s="8"/>
      <c r="B427" s="10"/>
      <c r="D427" s="11"/>
      <c r="E427" s="11"/>
      <c r="F427" s="10"/>
      <c r="G427" s="11"/>
      <c r="H427" s="11"/>
      <c r="I427" s="11"/>
      <c r="J427" s="11"/>
      <c r="K427" s="11"/>
      <c r="L427" s="11"/>
      <c r="M427" s="11"/>
      <c r="N427" s="10"/>
      <c r="O427" s="11"/>
      <c r="P427" s="11"/>
      <c r="Q427" s="11"/>
    </row>
    <row r="428" spans="1:17" x14ac:dyDescent="0.3">
      <c r="A428" s="8"/>
      <c r="B428" s="10"/>
      <c r="D428" s="11"/>
      <c r="E428" s="11"/>
      <c r="F428" s="10"/>
      <c r="G428" s="11"/>
      <c r="H428" s="11"/>
      <c r="I428" s="11"/>
      <c r="J428" s="11"/>
      <c r="K428" s="11"/>
      <c r="L428" s="11"/>
      <c r="M428" s="11"/>
      <c r="N428" s="10"/>
      <c r="O428" s="11"/>
      <c r="P428" s="11"/>
      <c r="Q428" s="11"/>
    </row>
    <row r="429" spans="1:17" x14ac:dyDescent="0.3">
      <c r="A429" s="8"/>
      <c r="B429" s="10"/>
      <c r="D429" s="11"/>
      <c r="E429" s="11"/>
      <c r="F429" s="10"/>
      <c r="G429" s="11"/>
      <c r="H429" s="11"/>
      <c r="I429" s="11"/>
      <c r="J429" s="11"/>
      <c r="K429" s="11"/>
      <c r="L429" s="11"/>
      <c r="M429" s="11"/>
      <c r="N429" s="10"/>
      <c r="O429" s="11"/>
      <c r="P429" s="11"/>
      <c r="Q429" s="11"/>
    </row>
    <row r="430" spans="1:17" x14ac:dyDescent="0.3">
      <c r="A430" s="8"/>
      <c r="B430" s="10"/>
      <c r="D430" s="11"/>
      <c r="E430" s="11"/>
      <c r="F430" s="10"/>
      <c r="G430" s="11"/>
      <c r="H430" s="11"/>
      <c r="I430" s="11"/>
      <c r="J430" s="11"/>
      <c r="K430" s="11"/>
      <c r="L430" s="10"/>
      <c r="M430" s="10"/>
      <c r="N430" s="11"/>
      <c r="O430" s="11"/>
      <c r="P430" s="11"/>
      <c r="Q430" s="11"/>
    </row>
    <row r="431" spans="1:17" x14ac:dyDescent="0.3">
      <c r="A431" s="8"/>
      <c r="B431" s="10"/>
      <c r="D431" s="11"/>
      <c r="E431" s="11"/>
      <c r="F431" s="10"/>
      <c r="G431" s="11"/>
      <c r="H431" s="11"/>
      <c r="I431" s="11"/>
      <c r="J431" s="11"/>
      <c r="K431" s="11"/>
      <c r="L431" s="10"/>
      <c r="M431" s="10"/>
      <c r="N431" s="11"/>
      <c r="O431" s="11"/>
      <c r="P431" s="11"/>
      <c r="Q431" s="11"/>
    </row>
    <row r="432" spans="1:17" x14ac:dyDescent="0.3">
      <c r="A432" s="8"/>
      <c r="B432" s="10"/>
      <c r="D432" s="10"/>
      <c r="E432" s="11"/>
      <c r="F432" s="10"/>
      <c r="G432" s="11"/>
      <c r="H432" s="11"/>
      <c r="I432" s="11"/>
      <c r="J432" s="11"/>
      <c r="K432" s="11"/>
      <c r="L432" s="11"/>
      <c r="M432" s="11"/>
      <c r="N432" s="10"/>
      <c r="O432" s="11"/>
      <c r="P432" s="11"/>
      <c r="Q432" s="11"/>
    </row>
    <row r="433" spans="1:17" x14ac:dyDescent="0.3">
      <c r="A433" s="8"/>
      <c r="B433" s="10"/>
      <c r="D433" s="11"/>
      <c r="E433" s="11"/>
      <c r="F433" s="10"/>
      <c r="G433" s="11"/>
      <c r="H433" s="11"/>
      <c r="I433" s="11"/>
      <c r="J433" s="11"/>
      <c r="K433" s="11"/>
      <c r="L433" s="10"/>
      <c r="M433" s="10"/>
      <c r="N433" s="11"/>
      <c r="O433" s="11"/>
      <c r="P433" s="11"/>
      <c r="Q433" s="11"/>
    </row>
    <row r="434" spans="1:17" x14ac:dyDescent="0.3">
      <c r="A434" s="8"/>
      <c r="B434" s="10"/>
      <c r="D434" s="11"/>
      <c r="E434" s="11"/>
      <c r="F434" s="10"/>
      <c r="G434" s="11"/>
      <c r="H434" s="11"/>
      <c r="I434" s="11"/>
      <c r="J434" s="11"/>
      <c r="K434" s="11"/>
      <c r="L434" s="10"/>
      <c r="M434" s="10"/>
      <c r="N434" s="11"/>
      <c r="O434" s="11"/>
      <c r="P434" s="11"/>
      <c r="Q434" s="11"/>
    </row>
    <row r="435" spans="1:17" x14ac:dyDescent="0.3">
      <c r="A435" s="8"/>
      <c r="B435" s="10"/>
      <c r="D435" s="11"/>
      <c r="E435" s="11"/>
      <c r="F435" s="10"/>
      <c r="G435" s="11"/>
      <c r="H435" s="11"/>
      <c r="I435" s="11"/>
      <c r="J435" s="11"/>
      <c r="K435" s="11"/>
      <c r="L435" s="10"/>
      <c r="M435" s="10"/>
      <c r="N435" s="11"/>
      <c r="O435" s="11"/>
      <c r="P435" s="11"/>
      <c r="Q435" s="11"/>
    </row>
    <row r="436" spans="1:17" x14ac:dyDescent="0.3">
      <c r="A436" s="8"/>
      <c r="B436" s="10"/>
      <c r="D436" s="11"/>
      <c r="E436" s="11"/>
      <c r="F436" s="10"/>
      <c r="G436" s="11"/>
      <c r="H436" s="11"/>
      <c r="I436" s="11"/>
      <c r="J436" s="11"/>
      <c r="K436" s="11"/>
      <c r="L436" s="10"/>
      <c r="M436" s="10"/>
      <c r="N436" s="11"/>
      <c r="O436" s="11"/>
      <c r="P436" s="11"/>
      <c r="Q436" s="11"/>
    </row>
    <row r="437" spans="1:17" x14ac:dyDescent="0.3">
      <c r="A437" s="8"/>
      <c r="B437" s="10"/>
      <c r="D437" s="11"/>
      <c r="E437" s="11"/>
      <c r="F437" s="10"/>
      <c r="G437" s="11"/>
      <c r="H437" s="11"/>
      <c r="I437" s="11"/>
      <c r="J437" s="11"/>
      <c r="K437" s="11"/>
      <c r="L437" s="10"/>
      <c r="M437" s="10"/>
      <c r="N437" s="11"/>
      <c r="O437" s="11"/>
      <c r="P437" s="11"/>
      <c r="Q437" s="11"/>
    </row>
    <row r="438" spans="1:17" x14ac:dyDescent="0.3">
      <c r="A438" s="8"/>
      <c r="B438" s="10"/>
      <c r="D438" s="11"/>
      <c r="E438" s="11"/>
      <c r="F438" s="10"/>
      <c r="G438" s="11"/>
      <c r="H438" s="11"/>
      <c r="I438" s="11"/>
      <c r="J438" s="11"/>
      <c r="K438" s="11"/>
      <c r="L438" s="11"/>
      <c r="M438" s="11"/>
      <c r="N438" s="10"/>
      <c r="O438" s="11"/>
      <c r="P438" s="11"/>
      <c r="Q438" s="11"/>
    </row>
    <row r="439" spans="1:17" x14ac:dyDescent="0.3">
      <c r="A439" s="8"/>
      <c r="B439" s="10"/>
      <c r="D439" s="11"/>
      <c r="E439" s="11"/>
      <c r="F439" s="10"/>
      <c r="G439" s="11"/>
      <c r="H439" s="11"/>
      <c r="I439" s="11"/>
      <c r="J439" s="11"/>
      <c r="K439" s="11"/>
      <c r="L439" s="11"/>
      <c r="M439" s="11"/>
      <c r="N439" s="10"/>
      <c r="O439" s="11"/>
      <c r="P439" s="11"/>
      <c r="Q439" s="11"/>
    </row>
    <row r="440" spans="1:17" x14ac:dyDescent="0.3">
      <c r="A440" s="8"/>
      <c r="B440" s="10"/>
      <c r="D440" s="11"/>
      <c r="E440" s="11"/>
      <c r="F440" s="10"/>
      <c r="G440" s="11"/>
      <c r="H440" s="11"/>
      <c r="I440" s="11"/>
      <c r="J440" s="11"/>
      <c r="K440" s="11"/>
      <c r="L440" s="10"/>
      <c r="M440" s="10"/>
      <c r="N440" s="11"/>
      <c r="O440" s="11"/>
      <c r="P440" s="11"/>
      <c r="Q440" s="11"/>
    </row>
    <row r="441" spans="1:17" x14ac:dyDescent="0.3">
      <c r="A441" s="8"/>
      <c r="B441" s="10"/>
      <c r="D441" s="11"/>
      <c r="E441" s="11"/>
      <c r="F441" s="10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</row>
    <row r="442" spans="1:17" x14ac:dyDescent="0.3">
      <c r="A442" s="8"/>
      <c r="B442" s="10"/>
      <c r="D442" s="11"/>
      <c r="E442" s="11"/>
      <c r="F442" s="10"/>
      <c r="G442" s="11"/>
      <c r="H442" s="11"/>
      <c r="I442" s="11"/>
      <c r="J442" s="11"/>
      <c r="K442" s="11"/>
      <c r="L442" s="10"/>
      <c r="M442" s="10"/>
      <c r="N442" s="11"/>
      <c r="O442" s="11"/>
      <c r="P442" s="11"/>
      <c r="Q442" s="11"/>
    </row>
    <row r="443" spans="1:17" x14ac:dyDescent="0.3">
      <c r="A443" s="8"/>
      <c r="B443" s="10"/>
      <c r="D443" s="11"/>
      <c r="E443" s="11"/>
      <c r="F443" s="10"/>
      <c r="G443" s="11"/>
      <c r="H443" s="11"/>
      <c r="I443" s="11"/>
      <c r="J443" s="11"/>
      <c r="K443" s="11"/>
      <c r="L443" s="10"/>
      <c r="M443" s="10"/>
      <c r="N443" s="11"/>
      <c r="O443" s="11"/>
      <c r="P443" s="11"/>
      <c r="Q443" s="11"/>
    </row>
    <row r="444" spans="1:17" x14ac:dyDescent="0.3">
      <c r="A444" s="9"/>
      <c r="B444" s="10"/>
      <c r="D444" s="13"/>
      <c r="E444" s="13"/>
      <c r="F444" s="10"/>
      <c r="G444" s="13"/>
      <c r="H444" s="10"/>
      <c r="I444" s="13"/>
      <c r="J444" s="13"/>
      <c r="K444" s="13"/>
      <c r="L444" s="10"/>
      <c r="M444" s="10"/>
      <c r="N444" s="13"/>
      <c r="O444" s="13"/>
      <c r="P444" s="13"/>
      <c r="Q444" s="13"/>
    </row>
    <row r="445" spans="1:17" x14ac:dyDescent="0.3">
      <c r="A445" s="26"/>
      <c r="B445" s="10"/>
      <c r="D445" s="14"/>
      <c r="E445" s="14"/>
      <c r="F445" s="10"/>
      <c r="G445" s="14"/>
      <c r="H445" s="14"/>
      <c r="I445" s="14"/>
      <c r="J445" s="14"/>
      <c r="K445" s="14"/>
      <c r="L445" s="10"/>
      <c r="M445" s="10"/>
      <c r="N445" s="14"/>
      <c r="O445" s="14"/>
      <c r="P445" s="14"/>
      <c r="Q445" s="14"/>
    </row>
    <row r="446" spans="1:17" x14ac:dyDescent="0.3">
      <c r="A446" s="26"/>
      <c r="B446" s="10"/>
      <c r="D446" s="14"/>
      <c r="E446" s="14"/>
      <c r="F446" s="10"/>
      <c r="G446" s="11"/>
      <c r="H446" s="14"/>
      <c r="I446" s="14"/>
      <c r="J446" s="14"/>
      <c r="K446" s="14"/>
      <c r="L446" s="10"/>
      <c r="M446" s="10"/>
      <c r="N446" s="14"/>
      <c r="O446" s="14"/>
      <c r="P446" s="14"/>
      <c r="Q446" s="14"/>
    </row>
    <row r="447" spans="1:17" x14ac:dyDescent="0.3">
      <c r="A447" s="26"/>
      <c r="B447" s="10"/>
      <c r="D447" s="14"/>
      <c r="E447" s="14"/>
      <c r="F447" s="10"/>
      <c r="G447" s="11"/>
      <c r="H447" s="14"/>
      <c r="I447" s="14"/>
      <c r="J447" s="14"/>
      <c r="K447" s="14"/>
      <c r="L447" s="10"/>
      <c r="M447" s="10"/>
      <c r="N447" s="10"/>
      <c r="O447" s="14"/>
      <c r="P447" s="14"/>
      <c r="Q447" s="14"/>
    </row>
    <row r="448" spans="1:17" x14ac:dyDescent="0.3">
      <c r="A448" s="8"/>
      <c r="B448" s="10"/>
      <c r="D448" s="11"/>
      <c r="E448" s="11"/>
      <c r="F448" s="10"/>
      <c r="G448" s="11"/>
      <c r="H448" s="11"/>
      <c r="I448" s="11"/>
      <c r="J448" s="11"/>
      <c r="K448" s="11"/>
      <c r="L448" s="10"/>
      <c r="M448" s="10"/>
      <c r="N448" s="11"/>
      <c r="O448" s="11"/>
      <c r="P448" s="11"/>
      <c r="Q448" s="11"/>
    </row>
    <row r="449" spans="1:17" x14ac:dyDescent="0.3">
      <c r="A449" s="8"/>
      <c r="B449" s="10"/>
      <c r="D449" s="11"/>
      <c r="E449" s="11"/>
      <c r="F449" s="10"/>
      <c r="G449" s="11"/>
      <c r="H449" s="11"/>
      <c r="I449" s="11"/>
      <c r="J449" s="11"/>
      <c r="K449" s="11"/>
      <c r="L449" s="10"/>
      <c r="M449" s="10"/>
      <c r="N449" s="11"/>
      <c r="O449" s="11"/>
      <c r="P449" s="11"/>
      <c r="Q449" s="11"/>
    </row>
    <row r="450" spans="1:17" x14ac:dyDescent="0.3">
      <c r="A450" s="8"/>
      <c r="B450" s="10"/>
      <c r="D450" s="11"/>
      <c r="E450" s="11"/>
      <c r="F450" s="10"/>
      <c r="G450" s="11"/>
      <c r="H450" s="11"/>
      <c r="I450" s="11"/>
      <c r="J450" s="11"/>
      <c r="K450" s="11"/>
      <c r="L450" s="10"/>
      <c r="M450" s="10"/>
      <c r="N450" s="11"/>
      <c r="O450" s="11"/>
      <c r="P450" s="11"/>
      <c r="Q450" s="11"/>
    </row>
    <row r="451" spans="1:17" x14ac:dyDescent="0.3">
      <c r="A451" s="8"/>
      <c r="B451" s="10"/>
      <c r="D451" s="11"/>
      <c r="E451" s="11"/>
      <c r="F451" s="10"/>
      <c r="G451" s="11"/>
      <c r="H451" s="11"/>
      <c r="I451" s="11"/>
      <c r="J451" s="11"/>
      <c r="K451" s="11"/>
      <c r="L451" s="10"/>
      <c r="M451" s="10"/>
      <c r="N451" s="11"/>
      <c r="O451" s="10"/>
      <c r="P451" s="11"/>
      <c r="Q451" s="11"/>
    </row>
    <row r="452" spans="1:17" x14ac:dyDescent="0.3">
      <c r="A452" s="8"/>
      <c r="B452" s="10"/>
      <c r="D452" s="11"/>
      <c r="E452" s="11"/>
      <c r="F452" s="10"/>
      <c r="G452" s="11"/>
      <c r="H452" s="11"/>
      <c r="I452" s="11"/>
      <c r="J452" s="11"/>
      <c r="K452" s="11"/>
      <c r="L452" s="10"/>
      <c r="M452" s="10"/>
      <c r="N452" s="11"/>
      <c r="O452" s="11"/>
      <c r="P452" s="11"/>
      <c r="Q452" s="11"/>
    </row>
    <row r="453" spans="1:17" x14ac:dyDescent="0.3">
      <c r="A453" s="8"/>
      <c r="B453" s="10"/>
      <c r="D453" s="11"/>
      <c r="E453" s="11"/>
      <c r="F453" s="10"/>
      <c r="G453" s="11"/>
      <c r="H453" s="11"/>
      <c r="I453" s="11"/>
      <c r="J453" s="11"/>
      <c r="K453" s="11"/>
      <c r="L453" s="10"/>
      <c r="M453" s="10"/>
      <c r="N453" s="11"/>
      <c r="O453" s="11"/>
      <c r="P453" s="11"/>
      <c r="Q453" s="11"/>
    </row>
    <row r="454" spans="1:17" x14ac:dyDescent="0.3">
      <c r="A454" s="8"/>
      <c r="B454" s="10"/>
      <c r="D454" s="11"/>
      <c r="E454" s="11"/>
      <c r="F454" s="10"/>
      <c r="G454" s="11"/>
      <c r="H454" s="11"/>
      <c r="I454" s="11"/>
      <c r="J454" s="11"/>
      <c r="K454" s="11"/>
      <c r="L454" s="10"/>
      <c r="M454" s="10"/>
      <c r="N454" s="11"/>
      <c r="O454" s="11"/>
      <c r="P454" s="11"/>
      <c r="Q454" s="11"/>
    </row>
    <row r="455" spans="1:17" x14ac:dyDescent="0.3">
      <c r="A455" s="8"/>
      <c r="B455" s="10"/>
      <c r="D455" s="11"/>
      <c r="E455" s="11"/>
      <c r="F455" s="10"/>
      <c r="G455" s="11"/>
      <c r="H455" s="11"/>
      <c r="I455" s="11"/>
      <c r="J455" s="11"/>
      <c r="K455" s="11"/>
      <c r="L455" s="10"/>
      <c r="M455" s="10"/>
      <c r="N455" s="11"/>
      <c r="O455" s="10"/>
      <c r="P455" s="11"/>
      <c r="Q455" s="11"/>
    </row>
    <row r="456" spans="1:17" x14ac:dyDescent="0.3">
      <c r="A456" s="8"/>
      <c r="B456" s="10"/>
      <c r="D456" s="11"/>
      <c r="E456" s="11"/>
      <c r="F456" s="10"/>
      <c r="G456" s="11"/>
      <c r="H456" s="11"/>
      <c r="I456" s="11"/>
      <c r="J456" s="11"/>
      <c r="K456" s="11"/>
      <c r="L456" s="10"/>
      <c r="M456" s="10"/>
      <c r="N456" s="11"/>
      <c r="O456" s="11"/>
      <c r="P456" s="11"/>
      <c r="Q456" s="11"/>
    </row>
    <row r="457" spans="1:17" x14ac:dyDescent="0.3">
      <c r="A457" s="8"/>
      <c r="B457" s="10"/>
      <c r="D457" s="11"/>
      <c r="E457" s="11"/>
      <c r="F457" s="10"/>
      <c r="G457" s="11"/>
      <c r="H457" s="11"/>
      <c r="I457" s="11"/>
      <c r="J457" s="11"/>
      <c r="K457" s="11"/>
      <c r="L457" s="10"/>
      <c r="M457" s="10"/>
      <c r="N457" s="11"/>
      <c r="O457" s="11"/>
      <c r="P457" s="11"/>
      <c r="Q457" s="11"/>
    </row>
    <row r="458" spans="1:17" x14ac:dyDescent="0.3">
      <c r="A458" s="8"/>
      <c r="B458" s="10"/>
      <c r="D458" s="11"/>
      <c r="E458" s="11"/>
      <c r="F458" s="10"/>
      <c r="G458" s="11"/>
      <c r="H458" s="11"/>
      <c r="I458" s="11"/>
      <c r="J458" s="11"/>
      <c r="K458" s="11"/>
      <c r="L458" s="11"/>
      <c r="M458" s="11"/>
      <c r="N458" s="10"/>
      <c r="O458" s="11"/>
      <c r="P458" s="11"/>
      <c r="Q458" s="11"/>
    </row>
    <row r="459" spans="1:17" x14ac:dyDescent="0.3">
      <c r="A459" s="8"/>
      <c r="B459" s="10"/>
      <c r="D459" s="11"/>
      <c r="E459" s="11"/>
      <c r="F459" s="10"/>
      <c r="G459" s="11"/>
      <c r="H459" s="11"/>
      <c r="I459" s="11"/>
      <c r="J459" s="11"/>
      <c r="K459" s="11"/>
      <c r="L459" s="10"/>
      <c r="M459" s="10"/>
      <c r="N459" s="11"/>
      <c r="O459" s="11"/>
      <c r="P459" s="11"/>
      <c r="Q459" s="11"/>
    </row>
    <row r="460" spans="1:17" x14ac:dyDescent="0.3">
      <c r="A460" s="8"/>
      <c r="B460" s="10"/>
      <c r="D460" s="11"/>
      <c r="E460" s="11"/>
      <c r="F460" s="10"/>
      <c r="G460" s="11"/>
      <c r="H460" s="11"/>
      <c r="I460" s="11"/>
      <c r="J460" s="11"/>
      <c r="K460" s="11"/>
      <c r="L460" s="10"/>
      <c r="M460" s="10"/>
      <c r="N460" s="11"/>
      <c r="O460" s="11"/>
      <c r="P460" s="11"/>
      <c r="Q460" s="11"/>
    </row>
    <row r="461" spans="1:17" x14ac:dyDescent="0.3">
      <c r="A461" s="8"/>
      <c r="B461" s="10"/>
      <c r="D461" s="11"/>
      <c r="E461" s="11"/>
      <c r="F461" s="10"/>
      <c r="G461" s="11"/>
      <c r="H461" s="11"/>
      <c r="I461" s="11"/>
      <c r="J461" s="11"/>
      <c r="K461" s="11"/>
      <c r="L461" s="11"/>
      <c r="M461" s="11"/>
      <c r="N461" s="10"/>
      <c r="O461" s="11"/>
      <c r="P461" s="11"/>
      <c r="Q461" s="11"/>
    </row>
    <row r="462" spans="1:17" x14ac:dyDescent="0.3">
      <c r="A462" s="8"/>
      <c r="B462" s="10"/>
      <c r="D462" s="11"/>
      <c r="E462" s="11"/>
      <c r="F462" s="10"/>
      <c r="G462" s="11"/>
      <c r="H462" s="11"/>
      <c r="I462" s="11"/>
      <c r="J462" s="11"/>
      <c r="K462" s="11"/>
      <c r="L462" s="10"/>
      <c r="M462" s="10"/>
      <c r="N462" s="11"/>
      <c r="O462" s="11"/>
      <c r="P462" s="11"/>
      <c r="Q462" s="11"/>
    </row>
    <row r="463" spans="1:17" x14ac:dyDescent="0.3">
      <c r="A463" s="8"/>
      <c r="B463" s="10"/>
      <c r="D463" s="11"/>
      <c r="E463" s="11"/>
      <c r="F463" s="10"/>
      <c r="G463" s="11"/>
      <c r="H463" s="11"/>
      <c r="I463" s="11"/>
      <c r="J463" s="11"/>
      <c r="K463" s="11"/>
      <c r="L463" s="10"/>
      <c r="M463" s="10"/>
      <c r="N463" s="11"/>
      <c r="O463" s="11"/>
      <c r="P463" s="11"/>
      <c r="Q463" s="11"/>
    </row>
    <row r="464" spans="1:17" x14ac:dyDescent="0.3">
      <c r="A464" s="8"/>
      <c r="B464" s="10"/>
      <c r="D464" s="11"/>
      <c r="E464" s="11"/>
      <c r="F464" s="10"/>
      <c r="G464" s="11"/>
      <c r="H464" s="11"/>
      <c r="I464" s="11"/>
      <c r="J464" s="11"/>
      <c r="K464" s="11"/>
      <c r="L464" s="11"/>
      <c r="M464" s="11"/>
      <c r="N464" s="10"/>
      <c r="O464" s="11"/>
      <c r="P464" s="11"/>
      <c r="Q464" s="11"/>
    </row>
    <row r="465" spans="1:17" x14ac:dyDescent="0.3">
      <c r="A465" s="8"/>
      <c r="B465" s="10"/>
      <c r="D465" s="11"/>
      <c r="E465" s="11"/>
      <c r="F465" s="10"/>
      <c r="G465" s="11"/>
      <c r="H465" s="11"/>
      <c r="I465" s="11"/>
      <c r="J465" s="11"/>
      <c r="K465" s="11"/>
      <c r="L465" s="10"/>
      <c r="M465" s="10"/>
      <c r="N465" s="11"/>
      <c r="O465" s="11"/>
      <c r="P465" s="11"/>
      <c r="Q465" s="11"/>
    </row>
    <row r="466" spans="1:17" x14ac:dyDescent="0.3">
      <c r="A466" s="8"/>
      <c r="B466" s="10"/>
      <c r="D466" s="11"/>
      <c r="E466" s="11"/>
      <c r="F466" s="10"/>
      <c r="G466" s="11"/>
      <c r="H466" s="11"/>
      <c r="I466" s="11"/>
      <c r="J466" s="11"/>
      <c r="K466" s="11"/>
      <c r="L466" s="10"/>
      <c r="M466" s="10"/>
      <c r="N466" s="11"/>
      <c r="O466" s="11"/>
      <c r="P466" s="11"/>
      <c r="Q466" s="11"/>
    </row>
    <row r="467" spans="1:17" x14ac:dyDescent="0.3">
      <c r="A467" s="8"/>
      <c r="B467" s="10"/>
      <c r="D467" s="11"/>
      <c r="E467" s="11"/>
      <c r="F467" s="10"/>
      <c r="G467" s="11"/>
      <c r="H467" s="11"/>
      <c r="I467" s="11"/>
      <c r="J467" s="11"/>
      <c r="K467" s="11"/>
      <c r="L467" s="10"/>
      <c r="M467" s="10"/>
      <c r="N467" s="11"/>
      <c r="O467" s="11"/>
      <c r="P467" s="11"/>
      <c r="Q467" s="11"/>
    </row>
    <row r="468" spans="1:17" x14ac:dyDescent="0.3">
      <c r="A468" s="8"/>
      <c r="B468" s="10"/>
      <c r="D468" s="11"/>
      <c r="E468" s="11"/>
      <c r="F468" s="10"/>
      <c r="G468" s="11"/>
      <c r="H468" s="11"/>
      <c r="I468" s="11"/>
      <c r="J468" s="11"/>
      <c r="K468" s="11"/>
      <c r="L468" s="10"/>
      <c r="M468" s="10"/>
      <c r="N468" s="11"/>
      <c r="O468" s="11"/>
      <c r="P468" s="11"/>
      <c r="Q468" s="11"/>
    </row>
    <row r="469" spans="1:17" x14ac:dyDescent="0.3">
      <c r="A469" s="8"/>
      <c r="B469" s="10"/>
      <c r="D469" s="11"/>
      <c r="E469" s="11"/>
      <c r="F469" s="10"/>
      <c r="G469" s="11"/>
      <c r="H469" s="11"/>
      <c r="I469" s="11"/>
      <c r="J469" s="11"/>
      <c r="K469" s="11"/>
      <c r="L469" s="10"/>
      <c r="M469" s="10"/>
      <c r="N469" s="11"/>
      <c r="O469" s="11"/>
      <c r="P469" s="11"/>
      <c r="Q469" s="11"/>
    </row>
    <row r="470" spans="1:17" x14ac:dyDescent="0.3">
      <c r="A470" s="8"/>
      <c r="B470" s="10"/>
      <c r="D470" s="11"/>
      <c r="E470" s="11"/>
      <c r="F470" s="10"/>
      <c r="G470" s="11"/>
      <c r="H470" s="11"/>
      <c r="I470" s="11"/>
      <c r="J470" s="11"/>
      <c r="K470" s="11"/>
      <c r="L470" s="10"/>
      <c r="M470" s="10"/>
      <c r="N470" s="11"/>
      <c r="O470" s="11"/>
      <c r="P470" s="11"/>
      <c r="Q470" s="11"/>
    </row>
    <row r="471" spans="1:17" x14ac:dyDescent="0.3">
      <c r="A471" s="8"/>
      <c r="B471" s="10"/>
      <c r="D471" s="11"/>
      <c r="E471" s="11"/>
      <c r="F471" s="10"/>
      <c r="G471" s="11"/>
      <c r="H471" s="11"/>
      <c r="I471" s="11"/>
      <c r="J471" s="11"/>
      <c r="K471" s="11"/>
      <c r="L471" s="10"/>
      <c r="M471" s="10"/>
      <c r="N471" s="11"/>
      <c r="O471" s="11"/>
      <c r="P471" s="11"/>
      <c r="Q471" s="11"/>
    </row>
    <row r="472" spans="1:17" x14ac:dyDescent="0.3">
      <c r="A472" s="8"/>
      <c r="B472" s="10"/>
      <c r="D472" s="11"/>
      <c r="E472" s="11"/>
      <c r="F472" s="10"/>
      <c r="G472" s="11"/>
      <c r="H472" s="11"/>
      <c r="I472" s="11"/>
      <c r="J472" s="11"/>
      <c r="K472" s="11"/>
      <c r="L472" s="11"/>
      <c r="M472" s="11"/>
      <c r="N472" s="10"/>
      <c r="O472" s="11"/>
      <c r="P472" s="11"/>
      <c r="Q472" s="11"/>
    </row>
    <row r="473" spans="1:17" x14ac:dyDescent="0.3">
      <c r="A473" s="8"/>
      <c r="B473" s="10"/>
      <c r="D473" s="11"/>
      <c r="E473" s="11"/>
      <c r="F473" s="10"/>
      <c r="G473" s="11"/>
      <c r="H473" s="11"/>
      <c r="I473" s="11"/>
      <c r="J473" s="11"/>
      <c r="K473" s="11"/>
      <c r="L473" s="10"/>
      <c r="M473" s="10"/>
      <c r="N473" s="11"/>
      <c r="O473" s="11"/>
      <c r="P473" s="11"/>
      <c r="Q473" s="11"/>
    </row>
    <row r="474" spans="1:17" x14ac:dyDescent="0.3">
      <c r="A474" s="8"/>
      <c r="B474" s="10"/>
      <c r="D474" s="11"/>
      <c r="E474" s="11"/>
      <c r="F474" s="10"/>
      <c r="G474" s="11"/>
      <c r="H474" s="11"/>
      <c r="I474" s="11"/>
      <c r="J474" s="11"/>
      <c r="K474" s="11"/>
      <c r="L474" s="10"/>
      <c r="M474" s="10"/>
      <c r="N474" s="11"/>
      <c r="O474" s="11"/>
      <c r="P474" s="11"/>
      <c r="Q474" s="11"/>
    </row>
    <row r="475" spans="1:17" x14ac:dyDescent="0.3">
      <c r="A475" s="8"/>
      <c r="B475" s="10"/>
      <c r="D475" s="11"/>
      <c r="E475" s="11"/>
      <c r="F475" s="10"/>
      <c r="G475" s="11"/>
      <c r="H475" s="11"/>
      <c r="I475" s="11"/>
      <c r="J475" s="11"/>
      <c r="K475" s="11"/>
      <c r="L475" s="10"/>
      <c r="M475" s="10"/>
      <c r="N475" s="11"/>
      <c r="O475" s="11"/>
      <c r="P475" s="11"/>
      <c r="Q475" s="11"/>
    </row>
    <row r="476" spans="1:17" x14ac:dyDescent="0.3">
      <c r="A476" s="8"/>
      <c r="B476" s="10"/>
      <c r="D476" s="11"/>
      <c r="E476" s="11"/>
      <c r="F476" s="10"/>
      <c r="G476" s="11"/>
      <c r="H476" s="11"/>
      <c r="I476" s="11"/>
      <c r="J476" s="11"/>
      <c r="K476" s="11"/>
      <c r="L476" s="10"/>
      <c r="M476" s="10"/>
      <c r="N476" s="11"/>
      <c r="O476" s="11"/>
      <c r="P476" s="11"/>
      <c r="Q476" s="11"/>
    </row>
    <row r="477" spans="1:17" x14ac:dyDescent="0.3">
      <c r="A477" s="8"/>
      <c r="B477" s="10"/>
      <c r="D477" s="11"/>
      <c r="E477" s="11"/>
      <c r="F477" s="10"/>
      <c r="G477" s="11"/>
      <c r="H477" s="11"/>
      <c r="I477" s="11"/>
      <c r="J477" s="11"/>
      <c r="K477" s="11"/>
      <c r="L477" s="10"/>
      <c r="M477" s="10"/>
      <c r="N477" s="11"/>
      <c r="O477" s="11"/>
      <c r="P477" s="11"/>
      <c r="Q477" s="11"/>
    </row>
    <row r="478" spans="1:17" x14ac:dyDescent="0.3">
      <c r="A478" s="8"/>
      <c r="B478" s="10"/>
      <c r="D478" s="11"/>
      <c r="E478" s="11"/>
      <c r="F478" s="10"/>
      <c r="G478" s="11"/>
      <c r="H478" s="11"/>
      <c r="I478" s="11"/>
      <c r="J478" s="11"/>
      <c r="K478" s="11"/>
      <c r="L478" s="10"/>
      <c r="M478" s="10"/>
      <c r="N478" s="11"/>
      <c r="O478" s="11"/>
      <c r="P478" s="11"/>
      <c r="Q478" s="11"/>
    </row>
    <row r="479" spans="1:17" x14ac:dyDescent="0.3">
      <c r="A479" s="8"/>
      <c r="B479" s="10"/>
      <c r="D479" s="11"/>
      <c r="E479" s="11"/>
      <c r="F479" s="10"/>
      <c r="G479" s="11"/>
      <c r="H479" s="11"/>
      <c r="I479" s="11"/>
      <c r="J479" s="11"/>
      <c r="K479" s="11"/>
      <c r="L479" s="10"/>
      <c r="M479" s="10"/>
      <c r="N479" s="11"/>
      <c r="O479" s="11"/>
      <c r="P479" s="11"/>
      <c r="Q479" s="11"/>
    </row>
    <row r="480" spans="1:17" x14ac:dyDescent="0.3">
      <c r="A480" s="8"/>
      <c r="B480" s="10"/>
      <c r="D480" s="11"/>
      <c r="E480" s="11"/>
      <c r="F480" s="10"/>
      <c r="G480" s="11"/>
      <c r="H480" s="11"/>
      <c r="I480" s="11"/>
      <c r="J480" s="11"/>
      <c r="K480" s="11"/>
      <c r="L480" s="10"/>
      <c r="M480" s="10"/>
      <c r="N480" s="11"/>
      <c r="O480" s="11"/>
      <c r="P480" s="11"/>
      <c r="Q480" s="11"/>
    </row>
    <row r="481" spans="1:17" x14ac:dyDescent="0.3">
      <c r="A481" s="8"/>
      <c r="B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</row>
    <row r="482" spans="1:17" x14ac:dyDescent="0.3">
      <c r="A482" s="8"/>
      <c r="B482" s="10"/>
      <c r="D482" s="11"/>
      <c r="E482" s="11"/>
      <c r="F482" s="10"/>
      <c r="G482" s="11"/>
      <c r="H482" s="11"/>
      <c r="I482" s="11"/>
      <c r="J482" s="11"/>
      <c r="K482" s="11"/>
      <c r="L482" s="11"/>
      <c r="M482" s="11"/>
      <c r="N482" s="10"/>
      <c r="O482" s="11"/>
      <c r="P482" s="11"/>
      <c r="Q482" s="11"/>
    </row>
    <row r="483" spans="1:17" x14ac:dyDescent="0.3">
      <c r="A483" s="8"/>
      <c r="B483" s="10"/>
      <c r="D483" s="11"/>
      <c r="E483" s="11"/>
      <c r="F483" s="10"/>
      <c r="G483" s="11"/>
      <c r="H483" s="11"/>
      <c r="I483" s="11"/>
      <c r="J483" s="11"/>
      <c r="K483" s="11"/>
      <c r="L483" s="10"/>
      <c r="M483" s="10"/>
      <c r="N483" s="11"/>
      <c r="O483" s="11"/>
      <c r="P483" s="11"/>
      <c r="Q483" s="11"/>
    </row>
    <row r="484" spans="1:17" x14ac:dyDescent="0.3">
      <c r="A484" s="8"/>
      <c r="B484" s="10"/>
      <c r="D484" s="11"/>
      <c r="E484" s="11"/>
      <c r="F484" s="10"/>
      <c r="G484" s="11"/>
      <c r="H484" s="11"/>
      <c r="I484" s="11"/>
      <c r="J484" s="11"/>
      <c r="K484" s="11"/>
      <c r="L484" s="10"/>
      <c r="M484" s="10"/>
      <c r="N484" s="11"/>
      <c r="O484" s="11"/>
      <c r="P484" s="11"/>
      <c r="Q484" s="11"/>
    </row>
    <row r="485" spans="1:17" x14ac:dyDescent="0.3">
      <c r="A485" s="8"/>
      <c r="B485" s="10"/>
      <c r="D485" s="11"/>
      <c r="E485" s="11"/>
      <c r="F485" s="10"/>
      <c r="G485" s="11"/>
      <c r="H485" s="11"/>
      <c r="I485" s="11"/>
      <c r="J485" s="11"/>
      <c r="K485" s="11"/>
      <c r="L485" s="11"/>
      <c r="M485" s="11"/>
      <c r="N485" s="10"/>
      <c r="O485" s="11"/>
      <c r="P485" s="11"/>
      <c r="Q485" s="11"/>
    </row>
    <row r="486" spans="1:17" x14ac:dyDescent="0.3">
      <c r="A486" s="8"/>
      <c r="B486" s="10"/>
      <c r="D486" s="11"/>
      <c r="E486" s="11"/>
      <c r="F486" s="10"/>
      <c r="G486" s="11"/>
      <c r="H486" s="11"/>
      <c r="I486" s="11"/>
      <c r="J486" s="11"/>
      <c r="K486" s="11"/>
      <c r="L486" s="11"/>
      <c r="M486" s="11"/>
      <c r="N486" s="10"/>
      <c r="O486" s="11"/>
      <c r="P486" s="11"/>
      <c r="Q486" s="11"/>
    </row>
    <row r="487" spans="1:17" x14ac:dyDescent="0.3">
      <c r="A487" s="8"/>
      <c r="B487" s="10"/>
      <c r="D487" s="11"/>
      <c r="E487" s="11"/>
      <c r="F487" s="10"/>
      <c r="G487" s="11"/>
      <c r="H487" s="11"/>
      <c r="I487" s="11"/>
      <c r="J487" s="11"/>
      <c r="K487" s="11"/>
      <c r="L487" s="10"/>
      <c r="M487" s="10"/>
      <c r="N487" s="11"/>
      <c r="O487" s="11"/>
      <c r="P487" s="11"/>
      <c r="Q487" s="11"/>
    </row>
    <row r="488" spans="1:17" x14ac:dyDescent="0.3">
      <c r="A488" s="8"/>
      <c r="B488" s="10"/>
      <c r="D488" s="11"/>
      <c r="E488" s="11"/>
      <c r="F488" s="10"/>
      <c r="G488" s="11"/>
      <c r="H488" s="11"/>
      <c r="I488" s="11"/>
      <c r="J488" s="11"/>
      <c r="K488" s="11"/>
      <c r="L488" s="11"/>
      <c r="M488" s="11"/>
      <c r="N488" s="10"/>
      <c r="O488" s="11"/>
      <c r="P488" s="11"/>
      <c r="Q488" s="11"/>
    </row>
    <row r="489" spans="1:17" x14ac:dyDescent="0.3">
      <c r="A489" s="8"/>
      <c r="B489" s="10"/>
      <c r="D489" s="11"/>
      <c r="E489" s="11"/>
      <c r="F489" s="10"/>
      <c r="G489" s="11"/>
      <c r="H489" s="11"/>
      <c r="I489" s="11"/>
      <c r="J489" s="11"/>
      <c r="K489" s="11"/>
      <c r="L489" s="11"/>
      <c r="M489" s="11"/>
      <c r="N489" s="10"/>
      <c r="O489" s="11"/>
      <c r="P489" s="11"/>
      <c r="Q489" s="11"/>
    </row>
    <row r="490" spans="1:17" x14ac:dyDescent="0.3">
      <c r="A490" s="8"/>
      <c r="B490" s="10"/>
      <c r="D490" s="11"/>
      <c r="E490" s="11"/>
      <c r="F490" s="10"/>
      <c r="G490" s="11"/>
      <c r="H490" s="11"/>
      <c r="I490" s="11"/>
      <c r="J490" s="11"/>
      <c r="K490" s="11"/>
      <c r="L490" s="10"/>
      <c r="M490" s="10"/>
      <c r="N490" s="11"/>
      <c r="O490" s="11"/>
      <c r="P490" s="11"/>
      <c r="Q490" s="11"/>
    </row>
    <row r="491" spans="1:17" x14ac:dyDescent="0.3">
      <c r="A491" s="8"/>
      <c r="B491" s="10"/>
      <c r="D491" s="11"/>
      <c r="E491" s="11"/>
      <c r="F491" s="10"/>
      <c r="G491" s="11"/>
      <c r="H491" s="11"/>
      <c r="I491" s="11"/>
      <c r="J491" s="11"/>
      <c r="K491" s="11"/>
      <c r="L491" s="10"/>
      <c r="M491" s="10"/>
      <c r="N491" s="11"/>
      <c r="O491" s="11"/>
      <c r="P491" s="11"/>
      <c r="Q491" s="11"/>
    </row>
    <row r="492" spans="1:17" x14ac:dyDescent="0.3">
      <c r="A492" s="8"/>
      <c r="B492" s="10"/>
      <c r="D492" s="11"/>
      <c r="E492" s="11"/>
      <c r="F492" s="10"/>
      <c r="G492" s="11"/>
      <c r="H492" s="11"/>
      <c r="I492" s="11"/>
      <c r="J492" s="11"/>
      <c r="K492" s="11"/>
      <c r="L492" s="10"/>
      <c r="M492" s="10"/>
      <c r="N492" s="11"/>
      <c r="O492" s="11"/>
      <c r="P492" s="11"/>
      <c r="Q492" s="11"/>
    </row>
    <row r="493" spans="1:17" x14ac:dyDescent="0.3">
      <c r="A493" s="8"/>
      <c r="B493" s="10"/>
      <c r="D493" s="11"/>
      <c r="E493" s="11"/>
      <c r="F493" s="10"/>
      <c r="G493" s="11"/>
      <c r="H493" s="11"/>
      <c r="I493" s="11"/>
      <c r="J493" s="11"/>
      <c r="K493" s="11"/>
      <c r="L493" s="11"/>
      <c r="M493" s="11"/>
      <c r="N493" s="10"/>
      <c r="O493" s="11"/>
      <c r="P493" s="11"/>
      <c r="Q493" s="11"/>
    </row>
    <row r="494" spans="1:17" x14ac:dyDescent="0.3">
      <c r="A494" s="8"/>
      <c r="B494" s="10"/>
      <c r="D494" s="11"/>
      <c r="E494" s="11"/>
      <c r="F494" s="10"/>
      <c r="G494" s="11"/>
      <c r="H494" s="11"/>
      <c r="I494" s="11"/>
      <c r="J494" s="11"/>
      <c r="K494" s="11"/>
      <c r="L494" s="10"/>
      <c r="M494" s="10"/>
      <c r="N494" s="11"/>
      <c r="O494" s="11"/>
      <c r="P494" s="11"/>
      <c r="Q494" s="11"/>
    </row>
    <row r="495" spans="1:17" x14ac:dyDescent="0.3">
      <c r="A495" s="8"/>
      <c r="B495" s="10"/>
      <c r="D495" s="11"/>
      <c r="E495" s="11"/>
      <c r="F495" s="10"/>
      <c r="G495" s="11"/>
      <c r="H495" s="11"/>
      <c r="I495" s="11"/>
      <c r="J495" s="11"/>
      <c r="K495" s="11"/>
      <c r="L495" s="10"/>
      <c r="M495" s="10"/>
      <c r="N495" s="11"/>
      <c r="O495" s="11"/>
      <c r="P495" s="11"/>
      <c r="Q495" s="11"/>
    </row>
    <row r="496" spans="1:17" x14ac:dyDescent="0.3">
      <c r="A496" s="8"/>
      <c r="B496" s="10"/>
      <c r="D496" s="11"/>
      <c r="E496" s="11"/>
      <c r="F496" s="10"/>
      <c r="G496" s="11"/>
      <c r="H496" s="11"/>
      <c r="I496" s="11"/>
      <c r="J496" s="11"/>
      <c r="K496" s="11"/>
      <c r="L496" s="11"/>
      <c r="M496" s="11"/>
      <c r="N496" s="10"/>
      <c r="O496" s="11"/>
      <c r="P496" s="11"/>
      <c r="Q496" s="11"/>
    </row>
    <row r="497" spans="1:17" x14ac:dyDescent="0.3">
      <c r="A497" s="8"/>
      <c r="B497" s="10"/>
      <c r="D497" s="11"/>
      <c r="E497" s="11"/>
      <c r="F497" s="10"/>
      <c r="G497" s="11"/>
      <c r="H497" s="11"/>
      <c r="I497" s="11"/>
      <c r="J497" s="11"/>
      <c r="K497" s="11"/>
      <c r="L497" s="11"/>
      <c r="M497" s="11"/>
      <c r="N497" s="10"/>
      <c r="O497" s="11"/>
      <c r="P497" s="11"/>
      <c r="Q497" s="11"/>
    </row>
    <row r="498" spans="1:17" x14ac:dyDescent="0.3">
      <c r="A498" s="8"/>
      <c r="B498" s="10"/>
      <c r="D498" s="11"/>
      <c r="E498" s="11"/>
      <c r="F498" s="10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</row>
    <row r="499" spans="1:17" x14ac:dyDescent="0.3">
      <c r="A499" s="8"/>
      <c r="B499" s="10"/>
      <c r="D499" s="11"/>
      <c r="E499" s="11"/>
      <c r="F499" s="10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</row>
    <row r="500" spans="1:17" x14ac:dyDescent="0.3">
      <c r="A500" s="8"/>
      <c r="B500" s="10"/>
      <c r="D500" s="11"/>
      <c r="E500" s="11"/>
      <c r="F500" s="10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</row>
    <row r="501" spans="1:17" x14ac:dyDescent="0.3">
      <c r="A501" s="8"/>
      <c r="B501" s="10"/>
      <c r="D501" s="11"/>
      <c r="E501" s="11"/>
      <c r="F501" s="10"/>
      <c r="G501" s="11"/>
      <c r="H501" s="11"/>
      <c r="I501" s="11"/>
      <c r="J501" s="11"/>
      <c r="K501" s="11"/>
      <c r="L501" s="10"/>
      <c r="M501" s="10"/>
      <c r="N501" s="11"/>
      <c r="O501" s="11"/>
      <c r="P501" s="11"/>
      <c r="Q501" s="11"/>
    </row>
    <row r="502" spans="1:17" x14ac:dyDescent="0.3">
      <c r="A502" s="8"/>
      <c r="B502" s="10"/>
      <c r="D502" s="11"/>
      <c r="E502" s="11"/>
      <c r="F502" s="10"/>
      <c r="G502" s="11"/>
      <c r="H502" s="11"/>
      <c r="I502" s="11"/>
      <c r="J502" s="11"/>
      <c r="K502" s="11"/>
      <c r="L502" s="10"/>
      <c r="M502" s="10"/>
      <c r="N502" s="11"/>
      <c r="O502" s="11"/>
      <c r="P502" s="11"/>
      <c r="Q502" s="11"/>
    </row>
    <row r="503" spans="1:17" x14ac:dyDescent="0.3">
      <c r="A503" s="8"/>
      <c r="B503" s="10"/>
      <c r="D503" s="11"/>
      <c r="E503" s="11"/>
      <c r="F503" s="10"/>
      <c r="G503" s="11"/>
      <c r="H503" s="11"/>
      <c r="I503" s="11"/>
      <c r="J503" s="11"/>
      <c r="K503" s="11"/>
      <c r="L503" s="10"/>
      <c r="M503" s="10"/>
      <c r="N503" s="11"/>
      <c r="O503" s="11"/>
      <c r="P503" s="11"/>
      <c r="Q503" s="11"/>
    </row>
    <row r="504" spans="1:17" x14ac:dyDescent="0.3">
      <c r="A504" s="8"/>
      <c r="B504" s="10"/>
      <c r="D504" s="11"/>
      <c r="E504" s="11"/>
      <c r="F504" s="10"/>
      <c r="G504" s="11"/>
      <c r="H504" s="11"/>
      <c r="I504" s="11"/>
      <c r="J504" s="11"/>
      <c r="K504" s="11"/>
      <c r="L504" s="11"/>
      <c r="M504" s="11"/>
      <c r="N504" s="10"/>
      <c r="O504" s="11"/>
      <c r="P504" s="11"/>
      <c r="Q504" s="11"/>
    </row>
    <row r="505" spans="1:17" x14ac:dyDescent="0.3">
      <c r="A505" s="8"/>
      <c r="B505" s="10"/>
      <c r="D505" s="11"/>
      <c r="E505" s="11"/>
      <c r="F505" s="10"/>
      <c r="G505" s="11"/>
      <c r="H505" s="11"/>
      <c r="I505" s="11"/>
      <c r="J505" s="11"/>
      <c r="K505" s="11"/>
      <c r="L505" s="11"/>
      <c r="M505" s="11"/>
      <c r="N505" s="10"/>
      <c r="O505" s="11"/>
      <c r="P505" s="11"/>
      <c r="Q505" s="11"/>
    </row>
    <row r="506" spans="1:17" x14ac:dyDescent="0.3">
      <c r="A506" s="8"/>
      <c r="B506" s="10"/>
      <c r="D506" s="11"/>
      <c r="E506" s="11"/>
      <c r="F506" s="10"/>
      <c r="G506" s="11"/>
      <c r="H506" s="11"/>
      <c r="I506" s="11"/>
      <c r="J506" s="11"/>
      <c r="K506" s="11"/>
      <c r="L506" s="10"/>
      <c r="M506" s="10"/>
      <c r="N506" s="11"/>
      <c r="O506" s="11"/>
      <c r="P506" s="11"/>
      <c r="Q506" s="11"/>
    </row>
    <row r="507" spans="1:17" x14ac:dyDescent="0.3">
      <c r="A507" s="8"/>
      <c r="B507" s="10"/>
      <c r="D507" s="11"/>
      <c r="E507" s="11"/>
      <c r="F507" s="10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</row>
    <row r="508" spans="1:17" x14ac:dyDescent="0.3">
      <c r="A508" s="8"/>
      <c r="B508" s="10"/>
      <c r="D508" s="11"/>
      <c r="E508" s="11"/>
      <c r="F508" s="10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</row>
    <row r="509" spans="1:17" x14ac:dyDescent="0.3">
      <c r="A509" s="8"/>
      <c r="B509" s="10"/>
      <c r="D509" s="11"/>
      <c r="E509" s="11"/>
      <c r="F509" s="10"/>
      <c r="G509" s="11"/>
      <c r="H509" s="11"/>
      <c r="I509" s="11"/>
      <c r="J509" s="11"/>
      <c r="K509" s="11"/>
      <c r="L509" s="11"/>
      <c r="M509" s="11"/>
      <c r="N509" s="10"/>
      <c r="O509" s="11"/>
      <c r="P509" s="11"/>
      <c r="Q509" s="11"/>
    </row>
    <row r="510" spans="1:17" x14ac:dyDescent="0.3">
      <c r="A510" s="8"/>
      <c r="B510" s="10"/>
      <c r="D510" s="11"/>
      <c r="E510" s="11"/>
      <c r="F510" s="10"/>
      <c r="G510" s="11"/>
      <c r="H510" s="11"/>
      <c r="I510" s="11"/>
      <c r="J510" s="11"/>
      <c r="K510" s="11"/>
      <c r="L510" s="11"/>
      <c r="M510" s="11"/>
      <c r="N510" s="10"/>
      <c r="O510" s="11"/>
      <c r="P510" s="11"/>
      <c r="Q510" s="11"/>
    </row>
    <row r="511" spans="1:17" x14ac:dyDescent="0.3">
      <c r="A511" s="8"/>
      <c r="B511" s="10"/>
      <c r="D511" s="11"/>
      <c r="E511" s="11"/>
      <c r="F511" s="10"/>
      <c r="G511" s="11"/>
      <c r="H511" s="11"/>
      <c r="I511" s="11"/>
      <c r="J511" s="11"/>
      <c r="K511" s="11"/>
      <c r="L511" s="11"/>
      <c r="M511" s="11"/>
      <c r="N511" s="10"/>
      <c r="O511" s="11"/>
      <c r="P511" s="11"/>
      <c r="Q511" s="11"/>
    </row>
    <row r="512" spans="1:17" x14ac:dyDescent="0.3">
      <c r="A512" s="8"/>
      <c r="B512" s="10"/>
      <c r="D512" s="11"/>
      <c r="E512" s="11"/>
      <c r="F512" s="10"/>
      <c r="G512" s="11"/>
      <c r="H512" s="11"/>
      <c r="I512" s="11"/>
      <c r="J512" s="11"/>
      <c r="K512" s="11"/>
      <c r="L512" s="10"/>
      <c r="M512" s="10"/>
      <c r="N512" s="11"/>
      <c r="O512" s="11"/>
      <c r="P512" s="11"/>
      <c r="Q512" s="11"/>
    </row>
    <row r="513" spans="1:17" x14ac:dyDescent="0.3">
      <c r="A513" s="8"/>
      <c r="B513" s="11"/>
      <c r="D513" s="11"/>
      <c r="E513" s="11"/>
      <c r="F513" s="11"/>
      <c r="G513" s="11"/>
      <c r="H513" s="11"/>
      <c r="I513" s="11"/>
      <c r="J513" s="11"/>
      <c r="K513" s="11"/>
      <c r="L513" s="10"/>
      <c r="M513" s="10"/>
      <c r="N513" s="11"/>
      <c r="O513" s="11"/>
      <c r="P513" s="11"/>
      <c r="Q513" s="11"/>
    </row>
    <row r="514" spans="1:17" x14ac:dyDescent="0.3">
      <c r="A514" s="8"/>
      <c r="B514" s="10"/>
      <c r="D514" s="10"/>
      <c r="E514" s="11"/>
      <c r="F514" s="10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</row>
    <row r="515" spans="1:17" x14ac:dyDescent="0.3">
      <c r="A515" s="8"/>
      <c r="B515" s="10"/>
      <c r="D515" s="11"/>
      <c r="E515" s="11"/>
      <c r="F515" s="10"/>
      <c r="G515" s="11"/>
      <c r="H515" s="11"/>
      <c r="I515" s="11"/>
      <c r="J515" s="11"/>
      <c r="K515" s="11"/>
      <c r="L515" s="10"/>
      <c r="M515" s="10"/>
      <c r="N515" s="11"/>
      <c r="O515" s="11"/>
      <c r="P515" s="11"/>
      <c r="Q515" s="11"/>
    </row>
    <row r="516" spans="1:17" x14ac:dyDescent="0.3">
      <c r="A516" s="8"/>
      <c r="B516" s="10"/>
      <c r="D516" s="11"/>
      <c r="E516" s="11"/>
      <c r="F516" s="10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</row>
    <row r="517" spans="1:17" x14ac:dyDescent="0.3">
      <c r="A517" s="8"/>
      <c r="B517" s="10"/>
      <c r="D517" s="11"/>
      <c r="E517" s="11"/>
      <c r="F517" s="10"/>
      <c r="G517" s="11"/>
      <c r="H517" s="11"/>
      <c r="I517" s="11"/>
      <c r="J517" s="11"/>
      <c r="K517" s="11"/>
      <c r="L517" s="10"/>
      <c r="M517" s="10"/>
      <c r="N517" s="11"/>
      <c r="O517" s="11"/>
      <c r="P517" s="11"/>
      <c r="Q517" s="11"/>
    </row>
    <row r="518" spans="1:17" x14ac:dyDescent="0.3">
      <c r="A518" s="8"/>
      <c r="B518" s="10"/>
      <c r="D518" s="11"/>
      <c r="E518" s="11"/>
      <c r="F518" s="10"/>
      <c r="G518" s="11"/>
      <c r="H518" s="11"/>
      <c r="I518" s="11"/>
      <c r="J518" s="11"/>
      <c r="K518" s="11"/>
      <c r="L518" s="10"/>
      <c r="M518" s="10"/>
      <c r="N518" s="11"/>
      <c r="O518" s="11"/>
      <c r="P518" s="11"/>
      <c r="Q518" s="11"/>
    </row>
    <row r="519" spans="1:17" x14ac:dyDescent="0.3">
      <c r="A519" s="8"/>
      <c r="B519" s="10"/>
      <c r="D519" s="11"/>
      <c r="E519" s="11"/>
      <c r="F519" s="10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</row>
    <row r="520" spans="1:17" x14ac:dyDescent="0.3">
      <c r="A520" s="8"/>
      <c r="B520" s="10"/>
      <c r="D520" s="11"/>
      <c r="E520" s="11"/>
      <c r="F520" s="10"/>
      <c r="G520" s="11"/>
      <c r="H520" s="11"/>
      <c r="I520" s="11"/>
      <c r="J520" s="11"/>
      <c r="K520" s="11"/>
      <c r="L520" s="10"/>
      <c r="M520" s="10"/>
      <c r="N520" s="11"/>
      <c r="O520" s="11"/>
      <c r="P520" s="11"/>
      <c r="Q520" s="11"/>
    </row>
    <row r="521" spans="1:17" x14ac:dyDescent="0.3">
      <c r="A521" s="8"/>
      <c r="B521" s="10"/>
      <c r="D521" s="11"/>
      <c r="E521" s="11"/>
      <c r="F521" s="10"/>
      <c r="G521" s="11"/>
      <c r="H521" s="11"/>
      <c r="I521" s="11"/>
      <c r="J521" s="11"/>
      <c r="K521" s="11"/>
      <c r="L521" s="10"/>
      <c r="M521" s="10"/>
      <c r="N521" s="11"/>
      <c r="O521" s="11"/>
      <c r="P521" s="11"/>
      <c r="Q521" s="11"/>
    </row>
    <row r="522" spans="1:17" x14ac:dyDescent="0.3">
      <c r="A522" s="8"/>
      <c r="B522" s="10"/>
      <c r="D522" s="11"/>
      <c r="E522" s="11"/>
      <c r="F522" s="10"/>
      <c r="G522" s="11"/>
      <c r="H522" s="11"/>
      <c r="I522" s="11"/>
      <c r="J522" s="11"/>
      <c r="K522" s="11"/>
      <c r="L522" s="10"/>
      <c r="M522" s="10"/>
      <c r="N522" s="11"/>
      <c r="O522" s="11"/>
      <c r="P522" s="11"/>
      <c r="Q522" s="11"/>
    </row>
    <row r="523" spans="1:17" x14ac:dyDescent="0.3">
      <c r="A523" s="8"/>
      <c r="B523" s="10"/>
      <c r="D523" s="11"/>
      <c r="E523" s="11"/>
      <c r="F523" s="10"/>
      <c r="G523" s="11"/>
      <c r="H523" s="11"/>
      <c r="I523" s="11"/>
      <c r="J523" s="11"/>
      <c r="K523" s="11"/>
      <c r="L523" s="11"/>
      <c r="M523" s="11"/>
      <c r="N523" s="10"/>
      <c r="O523" s="11"/>
      <c r="P523" s="11"/>
      <c r="Q523" s="11"/>
    </row>
    <row r="524" spans="1:17" x14ac:dyDescent="0.3">
      <c r="A524" s="8"/>
      <c r="B524" s="10"/>
      <c r="D524" s="11"/>
      <c r="E524" s="11"/>
      <c r="F524" s="10"/>
      <c r="G524" s="11"/>
      <c r="H524" s="11"/>
      <c r="I524" s="11"/>
      <c r="J524" s="11"/>
      <c r="K524" s="11"/>
      <c r="L524" s="10"/>
      <c r="M524" s="10"/>
      <c r="N524" s="11"/>
      <c r="O524" s="11"/>
      <c r="P524" s="11"/>
      <c r="Q524" s="11"/>
    </row>
    <row r="525" spans="1:17" x14ac:dyDescent="0.3">
      <c r="A525" s="8"/>
      <c r="B525" s="10"/>
      <c r="D525" s="11"/>
      <c r="E525" s="11"/>
      <c r="F525" s="10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</row>
    <row r="526" spans="1:17" x14ac:dyDescent="0.3">
      <c r="A526" s="8"/>
      <c r="B526" s="10"/>
      <c r="D526" s="11"/>
      <c r="E526" s="11"/>
      <c r="F526" s="10"/>
      <c r="G526" s="11"/>
      <c r="H526" s="11"/>
      <c r="I526" s="11"/>
      <c r="J526" s="11"/>
      <c r="K526" s="11"/>
      <c r="L526" s="11"/>
      <c r="M526" s="11"/>
      <c r="N526" s="10"/>
      <c r="O526" s="11"/>
      <c r="P526" s="11"/>
      <c r="Q526" s="11"/>
    </row>
    <row r="527" spans="1:17" x14ac:dyDescent="0.3">
      <c r="A527" s="8"/>
      <c r="B527" s="10"/>
      <c r="D527" s="11"/>
      <c r="E527" s="11"/>
      <c r="F527" s="10"/>
      <c r="G527" s="11"/>
      <c r="H527" s="11"/>
      <c r="I527" s="11"/>
      <c r="J527" s="11"/>
      <c r="K527" s="11"/>
      <c r="L527" s="11"/>
      <c r="M527" s="11"/>
      <c r="N527" s="10"/>
      <c r="O527" s="11"/>
      <c r="P527" s="11"/>
      <c r="Q527" s="11"/>
    </row>
    <row r="528" spans="1:17" x14ac:dyDescent="0.3">
      <c r="A528" s="8"/>
      <c r="B528" s="10"/>
      <c r="D528" s="11"/>
      <c r="E528" s="11"/>
      <c r="F528" s="10"/>
      <c r="G528" s="11"/>
      <c r="H528" s="11"/>
      <c r="I528" s="11"/>
      <c r="J528" s="11"/>
      <c r="K528" s="11"/>
      <c r="L528" s="10"/>
      <c r="M528" s="10"/>
      <c r="N528" s="11"/>
      <c r="O528" s="11"/>
      <c r="P528" s="11"/>
      <c r="Q528" s="11"/>
    </row>
    <row r="529" spans="1:17" x14ac:dyDescent="0.3">
      <c r="A529" s="8"/>
      <c r="B529" s="10"/>
      <c r="D529" s="11"/>
      <c r="E529" s="11"/>
      <c r="F529" s="10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</row>
    <row r="530" spans="1:17" x14ac:dyDescent="0.3">
      <c r="A530" s="8"/>
      <c r="B530" s="10"/>
      <c r="D530" s="11"/>
      <c r="E530" s="11"/>
      <c r="F530" s="10"/>
      <c r="G530" s="11"/>
      <c r="H530" s="11"/>
      <c r="I530" s="11"/>
      <c r="J530" s="11"/>
      <c r="K530" s="11"/>
      <c r="L530" s="10"/>
      <c r="M530" s="10"/>
      <c r="N530" s="11"/>
      <c r="O530" s="11"/>
      <c r="P530" s="11"/>
      <c r="Q530" s="11"/>
    </row>
    <row r="531" spans="1:17" x14ac:dyDescent="0.3">
      <c r="A531" s="8"/>
      <c r="B531" s="10"/>
      <c r="D531" s="11"/>
      <c r="E531" s="11"/>
      <c r="F531" s="10"/>
      <c r="G531" s="11"/>
      <c r="H531" s="11"/>
      <c r="I531" s="11"/>
      <c r="J531" s="11"/>
      <c r="K531" s="11"/>
      <c r="L531" s="10"/>
      <c r="M531" s="10"/>
      <c r="N531" s="11"/>
      <c r="O531" s="20"/>
      <c r="P531" s="11"/>
      <c r="Q531" s="11"/>
    </row>
    <row r="532" spans="1:17" x14ac:dyDescent="0.3">
      <c r="A532" s="8"/>
      <c r="B532" s="10"/>
      <c r="D532" s="11"/>
      <c r="E532" s="11"/>
      <c r="F532" s="10"/>
      <c r="G532" s="11"/>
      <c r="H532" s="11"/>
      <c r="I532" s="11"/>
      <c r="J532" s="11"/>
      <c r="K532" s="11"/>
      <c r="L532" s="11"/>
      <c r="M532" s="11"/>
      <c r="N532" s="10"/>
      <c r="O532" s="11"/>
      <c r="P532" s="11"/>
      <c r="Q532" s="11"/>
    </row>
    <row r="533" spans="1:17" x14ac:dyDescent="0.3">
      <c r="A533" s="8"/>
      <c r="B533" s="10"/>
      <c r="D533" s="11"/>
      <c r="E533" s="11"/>
      <c r="F533" s="10"/>
      <c r="G533" s="11"/>
      <c r="H533" s="11"/>
      <c r="I533" s="11"/>
      <c r="J533" s="11"/>
      <c r="K533" s="11"/>
      <c r="L533" s="10"/>
      <c r="M533" s="10"/>
      <c r="N533" s="11"/>
      <c r="O533" s="11"/>
      <c r="P533" s="11"/>
      <c r="Q533" s="11"/>
    </row>
    <row r="534" spans="1:17" x14ac:dyDescent="0.3">
      <c r="A534" s="8"/>
      <c r="B534" s="10"/>
      <c r="D534" s="11"/>
      <c r="E534" s="11"/>
      <c r="F534" s="10"/>
      <c r="G534" s="11"/>
      <c r="H534" s="11"/>
      <c r="I534" s="11"/>
      <c r="J534" s="11"/>
      <c r="K534" s="11"/>
      <c r="L534" s="11"/>
      <c r="M534" s="11"/>
      <c r="N534" s="10"/>
      <c r="O534" s="11"/>
      <c r="P534" s="11"/>
      <c r="Q534" s="11"/>
    </row>
    <row r="535" spans="1:17" x14ac:dyDescent="0.3">
      <c r="A535" s="8"/>
      <c r="B535" s="10"/>
      <c r="D535" s="11"/>
      <c r="E535" s="11"/>
      <c r="F535" s="10"/>
      <c r="G535" s="11"/>
      <c r="H535" s="11"/>
      <c r="I535" s="11"/>
      <c r="J535" s="11"/>
      <c r="K535" s="11"/>
      <c r="L535" s="11"/>
      <c r="M535" s="11"/>
      <c r="N535" s="10"/>
      <c r="O535" s="11"/>
      <c r="P535" s="11"/>
      <c r="Q535" s="11"/>
    </row>
    <row r="536" spans="1:17" x14ac:dyDescent="0.3">
      <c r="A536" s="8"/>
      <c r="B536" s="10"/>
      <c r="D536" s="11"/>
      <c r="E536" s="11"/>
      <c r="F536" s="10"/>
      <c r="G536" s="11"/>
      <c r="H536" s="11"/>
      <c r="I536" s="11"/>
      <c r="J536" s="11"/>
      <c r="K536" s="11"/>
      <c r="L536" s="11"/>
      <c r="M536" s="11"/>
      <c r="N536" s="10"/>
      <c r="O536" s="11"/>
      <c r="P536" s="11"/>
      <c r="Q536" s="11"/>
    </row>
    <row r="537" spans="1:17" x14ac:dyDescent="0.3">
      <c r="A537" s="8"/>
      <c r="B537" s="10"/>
      <c r="D537" s="11"/>
      <c r="E537" s="11"/>
      <c r="F537" s="10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</row>
    <row r="538" spans="1:17" x14ac:dyDescent="0.3">
      <c r="A538" s="8"/>
      <c r="B538" s="10"/>
      <c r="D538" s="11"/>
      <c r="E538" s="11"/>
      <c r="F538" s="10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</row>
    <row r="539" spans="1:17" x14ac:dyDescent="0.3">
      <c r="A539" s="8"/>
      <c r="B539" s="10"/>
      <c r="D539" s="11"/>
      <c r="E539" s="11"/>
      <c r="F539" s="10"/>
      <c r="G539" s="11"/>
      <c r="H539" s="11"/>
      <c r="I539" s="11"/>
      <c r="J539" s="11"/>
      <c r="K539" s="11"/>
      <c r="L539" s="10"/>
      <c r="M539" s="10"/>
      <c r="N539" s="11"/>
      <c r="O539" s="11"/>
      <c r="P539" s="11"/>
      <c r="Q539" s="11"/>
    </row>
    <row r="540" spans="1:17" x14ac:dyDescent="0.3">
      <c r="A540" s="8"/>
      <c r="B540" s="10"/>
      <c r="D540" s="11"/>
      <c r="E540" s="11"/>
      <c r="F540" s="10"/>
      <c r="G540" s="11"/>
      <c r="H540" s="11"/>
      <c r="I540" s="11"/>
      <c r="J540" s="11"/>
      <c r="K540" s="11"/>
      <c r="L540" s="10"/>
      <c r="M540" s="10"/>
      <c r="N540" s="11"/>
      <c r="O540" s="11"/>
      <c r="P540" s="11"/>
      <c r="Q540" s="11"/>
    </row>
    <row r="541" spans="1:17" x14ac:dyDescent="0.3">
      <c r="A541" s="8"/>
      <c r="B541" s="10"/>
      <c r="D541" s="11"/>
      <c r="E541" s="11"/>
      <c r="F541" s="10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</row>
    <row r="542" spans="1:17" x14ac:dyDescent="0.3">
      <c r="A542" s="8"/>
      <c r="B542" s="10"/>
      <c r="D542" s="11"/>
      <c r="E542" s="11"/>
      <c r="F542" s="10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</row>
    <row r="543" spans="1:17" x14ac:dyDescent="0.3">
      <c r="A543" s="8"/>
      <c r="B543" s="10"/>
      <c r="D543" s="11"/>
      <c r="E543" s="11"/>
      <c r="F543" s="10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</row>
    <row r="544" spans="1:17" x14ac:dyDescent="0.3">
      <c r="A544" s="8"/>
      <c r="B544" s="10"/>
      <c r="D544" s="11"/>
      <c r="E544" s="11"/>
      <c r="F544" s="10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</row>
    <row r="545" spans="1:18" x14ac:dyDescent="0.3">
      <c r="A545" s="8"/>
      <c r="B545" s="10"/>
      <c r="D545" s="11"/>
      <c r="E545" s="11"/>
      <c r="F545" s="10"/>
      <c r="G545" s="11"/>
      <c r="H545" s="11"/>
      <c r="I545" s="11"/>
      <c r="J545" s="12"/>
      <c r="K545" s="11"/>
      <c r="L545" s="10"/>
      <c r="M545" s="10"/>
      <c r="N545" s="11"/>
      <c r="O545" s="11"/>
      <c r="P545" s="11"/>
      <c r="Q545" s="11"/>
      <c r="R545" s="11"/>
    </row>
    <row r="546" spans="1:18" x14ac:dyDescent="0.3">
      <c r="A546" s="8"/>
      <c r="B546" s="10"/>
      <c r="D546" s="10"/>
      <c r="E546" s="11"/>
      <c r="F546" s="10"/>
      <c r="G546" s="11"/>
      <c r="H546" s="11"/>
      <c r="I546" s="11"/>
      <c r="J546" s="12"/>
      <c r="K546" s="11"/>
      <c r="L546" s="10"/>
      <c r="M546" s="10"/>
      <c r="N546" s="11"/>
      <c r="O546" s="11"/>
      <c r="P546" s="11"/>
      <c r="Q546" s="11"/>
      <c r="R546" s="11"/>
    </row>
    <row r="547" spans="1:18" x14ac:dyDescent="0.3">
      <c r="A547" s="8"/>
      <c r="B547" s="10"/>
      <c r="D547" s="11"/>
      <c r="E547" s="11"/>
      <c r="F547" s="10"/>
      <c r="G547" s="11"/>
      <c r="H547" s="11"/>
      <c r="I547" s="11"/>
      <c r="J547" s="12"/>
      <c r="K547" s="11"/>
      <c r="L547" s="10"/>
      <c r="M547" s="10"/>
      <c r="N547" s="11"/>
      <c r="O547" s="11"/>
      <c r="P547" s="11"/>
      <c r="Q547" s="11"/>
      <c r="R547" s="11"/>
    </row>
    <row r="548" spans="1:18" x14ac:dyDescent="0.3">
      <c r="A548" s="8"/>
      <c r="B548" s="10"/>
      <c r="D548" s="10"/>
      <c r="E548" s="11"/>
      <c r="F548" s="10"/>
      <c r="G548" s="11"/>
      <c r="H548" s="11"/>
      <c r="I548" s="11"/>
      <c r="J548" s="12"/>
      <c r="K548" s="11"/>
      <c r="L548" s="10"/>
      <c r="M548" s="10"/>
      <c r="N548" s="11"/>
      <c r="O548" s="11"/>
      <c r="P548" s="11"/>
      <c r="Q548" s="11"/>
      <c r="R548" s="11"/>
    </row>
    <row r="549" spans="1:18" x14ac:dyDescent="0.3">
      <c r="A549" s="8"/>
      <c r="B549" s="10"/>
      <c r="D549" s="10"/>
      <c r="E549" s="11"/>
      <c r="F549" s="10"/>
      <c r="G549" s="11"/>
      <c r="H549" s="11"/>
      <c r="I549" s="11"/>
      <c r="J549" s="12"/>
      <c r="K549" s="11"/>
      <c r="L549" s="10"/>
      <c r="M549" s="10"/>
      <c r="N549" s="11"/>
      <c r="O549" s="11"/>
      <c r="P549" s="11"/>
      <c r="Q549" s="11"/>
      <c r="R549" s="11"/>
    </row>
    <row r="550" spans="1:18" x14ac:dyDescent="0.3">
      <c r="A550" s="8"/>
      <c r="B550" s="10"/>
      <c r="D550" s="10"/>
      <c r="E550" s="11"/>
      <c r="F550" s="10"/>
      <c r="G550" s="11"/>
      <c r="H550" s="11"/>
      <c r="I550" s="11"/>
      <c r="J550" s="12"/>
      <c r="K550" s="11"/>
      <c r="L550" s="10"/>
      <c r="M550" s="10"/>
      <c r="N550" s="11"/>
      <c r="O550" s="11"/>
      <c r="P550" s="11"/>
      <c r="Q550" s="11"/>
      <c r="R550" s="11"/>
    </row>
    <row r="551" spans="1:18" x14ac:dyDescent="0.3">
      <c r="A551" s="8"/>
      <c r="B551" s="10"/>
      <c r="D551" s="10"/>
      <c r="E551" s="11"/>
      <c r="F551" s="10"/>
      <c r="G551" s="11"/>
      <c r="H551" s="11"/>
      <c r="I551" s="11"/>
      <c r="J551" s="12"/>
      <c r="K551" s="11"/>
      <c r="L551" s="10"/>
      <c r="M551" s="10"/>
      <c r="N551" s="11"/>
      <c r="O551" s="11"/>
      <c r="P551" s="11"/>
      <c r="Q551" s="11"/>
      <c r="R551" s="11"/>
    </row>
    <row r="552" spans="1:18" x14ac:dyDescent="0.3">
      <c r="A552" s="8"/>
      <c r="B552" s="10"/>
      <c r="D552" s="10"/>
      <c r="E552" s="11"/>
      <c r="F552" s="10"/>
      <c r="G552" s="11"/>
      <c r="H552" s="11"/>
      <c r="I552" s="11"/>
      <c r="J552" s="12"/>
      <c r="K552" s="11"/>
      <c r="L552" s="12"/>
      <c r="M552" s="12"/>
      <c r="N552" s="10"/>
      <c r="O552" s="11"/>
      <c r="P552" s="11"/>
      <c r="Q552" s="11"/>
      <c r="R552" s="11"/>
    </row>
    <row r="553" spans="1:18" x14ac:dyDescent="0.3">
      <c r="A553" s="8"/>
      <c r="B553" s="10"/>
      <c r="D553" s="10"/>
      <c r="E553" s="11"/>
      <c r="F553" s="10"/>
      <c r="G553" s="11"/>
      <c r="H553" s="11"/>
      <c r="I553" s="11"/>
      <c r="J553" s="12"/>
      <c r="K553" s="11"/>
      <c r="L553" s="10"/>
      <c r="M553" s="10"/>
      <c r="N553" s="11"/>
      <c r="O553" s="11"/>
      <c r="P553" s="11"/>
      <c r="Q553" s="11"/>
      <c r="R553" s="11"/>
    </row>
    <row r="554" spans="1:18" x14ac:dyDescent="0.3">
      <c r="A554" s="8"/>
      <c r="B554" s="10"/>
      <c r="D554" s="10"/>
      <c r="E554" s="11"/>
      <c r="F554" s="10"/>
      <c r="G554" s="11"/>
      <c r="H554" s="11"/>
      <c r="I554" s="11"/>
      <c r="J554" s="12"/>
      <c r="K554" s="11"/>
      <c r="L554" s="10"/>
      <c r="M554" s="10"/>
      <c r="N554" s="11"/>
      <c r="O554" s="11"/>
      <c r="P554" s="11"/>
      <c r="Q554" s="11"/>
      <c r="R554" s="11"/>
    </row>
    <row r="555" spans="1:18" x14ac:dyDescent="0.3">
      <c r="A555" s="8"/>
      <c r="B555" s="10"/>
      <c r="D555" s="11"/>
      <c r="E555" s="11"/>
      <c r="F555" s="10"/>
      <c r="G555" s="11"/>
      <c r="H555" s="11"/>
      <c r="I555" s="11"/>
      <c r="J555" s="12"/>
      <c r="K555" s="11"/>
      <c r="L555" s="10"/>
      <c r="M555" s="10"/>
      <c r="N555" s="11"/>
      <c r="O555" s="11"/>
      <c r="P555" s="11"/>
      <c r="Q555" s="11"/>
      <c r="R555" s="11"/>
    </row>
    <row r="556" spans="1:18" x14ac:dyDescent="0.3">
      <c r="A556" s="8"/>
      <c r="B556" s="10"/>
      <c r="D556" s="11"/>
      <c r="E556" s="11"/>
      <c r="F556" s="10"/>
      <c r="G556" s="11"/>
      <c r="H556" s="11"/>
      <c r="I556" s="11"/>
      <c r="J556" s="12"/>
      <c r="K556" s="11"/>
      <c r="L556" s="10"/>
      <c r="M556" s="10"/>
      <c r="N556" s="11"/>
      <c r="O556" s="11"/>
      <c r="P556" s="11"/>
      <c r="Q556" s="11"/>
      <c r="R556" s="11"/>
    </row>
    <row r="557" spans="1:18" x14ac:dyDescent="0.3">
      <c r="A557" s="8"/>
      <c r="B557" s="10"/>
      <c r="D557" s="11"/>
      <c r="E557" s="11"/>
      <c r="F557" s="10"/>
      <c r="G557" s="11"/>
      <c r="H557" s="11"/>
      <c r="I557" s="11"/>
      <c r="J557" s="12"/>
      <c r="K557" s="11"/>
      <c r="L557" s="10"/>
      <c r="M557" s="10"/>
      <c r="N557" s="11"/>
      <c r="O557" s="11"/>
      <c r="P557" s="11"/>
      <c r="Q557" s="11"/>
      <c r="R557" s="10"/>
    </row>
    <row r="558" spans="1:18" x14ac:dyDescent="0.3">
      <c r="A558" s="8"/>
      <c r="B558" s="10"/>
      <c r="D558" s="11"/>
      <c r="E558" s="11"/>
      <c r="F558" s="10"/>
      <c r="G558" s="11"/>
      <c r="H558" s="11"/>
      <c r="I558" s="11"/>
      <c r="J558" s="12"/>
      <c r="K558" s="11"/>
      <c r="L558" s="10"/>
      <c r="M558" s="10"/>
      <c r="N558" s="11"/>
      <c r="O558" s="11"/>
      <c r="P558" s="11"/>
      <c r="Q558" s="11"/>
      <c r="R558" s="10"/>
    </row>
    <row r="559" spans="1:18" x14ac:dyDescent="0.3">
      <c r="A559" s="8"/>
      <c r="B559" s="10"/>
      <c r="D559" s="11"/>
      <c r="E559" s="11"/>
      <c r="F559" s="10"/>
      <c r="G559" s="11"/>
      <c r="H559" s="11"/>
      <c r="I559" s="11"/>
      <c r="J559" s="12"/>
      <c r="K559" s="11"/>
      <c r="L559" s="10"/>
      <c r="M559" s="10"/>
      <c r="N559" s="11"/>
      <c r="O559" s="11"/>
      <c r="P559" s="11"/>
      <c r="Q559" s="11"/>
      <c r="R559" s="10"/>
    </row>
    <row r="560" spans="1:18" x14ac:dyDescent="0.3">
      <c r="A560" s="8"/>
      <c r="B560" s="10"/>
      <c r="D560" s="11"/>
      <c r="E560" s="11"/>
      <c r="F560" s="10"/>
      <c r="G560" s="11"/>
      <c r="H560" s="11"/>
      <c r="I560" s="11"/>
      <c r="J560" s="12"/>
      <c r="K560" s="11"/>
      <c r="L560" s="10"/>
      <c r="M560" s="10"/>
      <c r="N560" s="11"/>
      <c r="O560" s="11"/>
      <c r="P560" s="11"/>
      <c r="Q560" s="11"/>
      <c r="R560" s="10"/>
    </row>
    <row r="561" spans="1:18" x14ac:dyDescent="0.3">
      <c r="A561" s="8"/>
      <c r="B561" s="10"/>
      <c r="D561" s="11"/>
      <c r="E561" s="11"/>
      <c r="F561" s="10"/>
      <c r="G561" s="11"/>
      <c r="H561" s="11"/>
      <c r="I561" s="11"/>
      <c r="J561" s="12"/>
      <c r="K561" s="11"/>
      <c r="L561" s="10"/>
      <c r="M561" s="10"/>
      <c r="N561" s="11"/>
      <c r="O561" s="11"/>
      <c r="P561" s="11"/>
      <c r="Q561" s="11"/>
      <c r="R561" s="10"/>
    </row>
    <row r="562" spans="1:18" x14ac:dyDescent="0.3">
      <c r="A562" s="8"/>
      <c r="B562" s="10"/>
      <c r="D562" s="11"/>
      <c r="E562" s="11"/>
      <c r="F562" s="10"/>
      <c r="G562" s="11"/>
      <c r="H562" s="11"/>
      <c r="I562" s="11"/>
      <c r="J562" s="12"/>
      <c r="K562" s="11"/>
      <c r="L562" s="10"/>
      <c r="M562" s="10"/>
      <c r="N562" s="11"/>
      <c r="O562" s="11"/>
      <c r="P562" s="11"/>
      <c r="Q562" s="11"/>
      <c r="R562" s="10"/>
    </row>
    <row r="563" spans="1:18" x14ac:dyDescent="0.3">
      <c r="A563" s="8"/>
      <c r="B563" s="10"/>
      <c r="D563" s="11"/>
      <c r="E563" s="11"/>
      <c r="F563" s="10"/>
      <c r="G563" s="11"/>
      <c r="H563" s="11"/>
      <c r="I563" s="11"/>
      <c r="J563" s="12"/>
      <c r="K563" s="11"/>
      <c r="L563" s="10"/>
      <c r="M563" s="10"/>
      <c r="N563" s="11"/>
      <c r="O563" s="11"/>
      <c r="P563" s="11"/>
      <c r="Q563" s="11"/>
      <c r="R563" s="10"/>
    </row>
    <row r="564" spans="1:18" x14ac:dyDescent="0.3">
      <c r="A564" s="8"/>
      <c r="B564" s="10"/>
      <c r="D564" s="11"/>
      <c r="E564" s="11"/>
      <c r="F564" s="10"/>
      <c r="G564" s="11"/>
      <c r="H564" s="11"/>
      <c r="I564" s="11"/>
      <c r="J564" s="12"/>
      <c r="K564" s="11"/>
      <c r="L564" s="10"/>
      <c r="M564" s="10"/>
      <c r="N564" s="11"/>
      <c r="O564" s="11"/>
      <c r="P564" s="11"/>
      <c r="Q564" s="11"/>
      <c r="R564" s="10"/>
    </row>
    <row r="565" spans="1:18" x14ac:dyDescent="0.3">
      <c r="A565" s="8"/>
      <c r="B565" s="10"/>
      <c r="D565" s="11"/>
      <c r="E565" s="11"/>
      <c r="F565" s="10"/>
      <c r="G565" s="11"/>
      <c r="H565" s="11"/>
      <c r="I565" s="11"/>
      <c r="J565" s="12"/>
      <c r="K565" s="11"/>
      <c r="L565" s="10"/>
      <c r="M565" s="10"/>
      <c r="N565" s="11"/>
      <c r="O565" s="11"/>
      <c r="P565" s="11"/>
      <c r="Q565" s="11"/>
      <c r="R565" s="10"/>
    </row>
    <row r="566" spans="1:18" x14ac:dyDescent="0.3">
      <c r="A566" s="8"/>
      <c r="B566" s="10"/>
      <c r="D566" s="11"/>
      <c r="E566" s="11"/>
      <c r="F566" s="10"/>
      <c r="G566" s="11"/>
      <c r="H566" s="11"/>
      <c r="I566" s="11"/>
      <c r="J566" s="12"/>
      <c r="K566" s="11"/>
      <c r="L566" s="10"/>
      <c r="M566" s="10"/>
      <c r="N566" s="11"/>
      <c r="O566" s="11"/>
      <c r="P566" s="11"/>
      <c r="Q566" s="11"/>
      <c r="R566" s="10"/>
    </row>
    <row r="567" spans="1:18" x14ac:dyDescent="0.3">
      <c r="A567" s="8"/>
      <c r="B567" s="10"/>
      <c r="D567" s="11"/>
      <c r="E567" s="11"/>
      <c r="F567" s="10"/>
      <c r="G567" s="11"/>
      <c r="H567" s="11"/>
      <c r="I567" s="11"/>
      <c r="J567" s="12"/>
      <c r="K567" s="11"/>
      <c r="L567" s="10"/>
      <c r="M567" s="10"/>
      <c r="N567" s="11"/>
      <c r="O567" s="11"/>
      <c r="P567" s="11"/>
      <c r="Q567" s="11"/>
      <c r="R567" s="10"/>
    </row>
    <row r="568" spans="1:18" x14ac:dyDescent="0.3">
      <c r="A568" s="8"/>
      <c r="B568" s="10"/>
      <c r="D568" s="11"/>
      <c r="E568" s="11"/>
      <c r="F568" s="10"/>
      <c r="G568" s="11"/>
      <c r="H568" s="11"/>
      <c r="I568" s="11"/>
      <c r="J568" s="12"/>
      <c r="K568" s="11"/>
      <c r="L568" s="10"/>
      <c r="M568" s="10"/>
      <c r="N568" s="11"/>
      <c r="O568" s="11"/>
      <c r="P568" s="11"/>
      <c r="Q568" s="11"/>
      <c r="R568" s="10"/>
    </row>
    <row r="569" spans="1:18" x14ac:dyDescent="0.3">
      <c r="A569" s="8"/>
      <c r="B569" s="10"/>
      <c r="D569" s="11"/>
      <c r="E569" s="11"/>
      <c r="F569" s="10"/>
      <c r="G569" s="11"/>
      <c r="H569" s="11"/>
      <c r="I569" s="11"/>
      <c r="J569" s="12"/>
      <c r="K569" s="11"/>
      <c r="L569" s="12"/>
      <c r="M569" s="10"/>
      <c r="N569" s="10"/>
      <c r="O569" s="11"/>
      <c r="P569" s="11"/>
      <c r="Q569" s="11"/>
      <c r="R569" s="10"/>
    </row>
    <row r="570" spans="1:18" x14ac:dyDescent="0.3">
      <c r="A570" s="8"/>
      <c r="B570" s="10"/>
      <c r="D570" s="11"/>
      <c r="E570" s="11"/>
      <c r="F570" s="10"/>
      <c r="G570" s="11"/>
      <c r="H570" s="11"/>
      <c r="I570" s="11"/>
      <c r="J570" s="12"/>
      <c r="K570" s="11"/>
      <c r="L570" s="12"/>
      <c r="M570" s="10"/>
      <c r="N570" s="10"/>
      <c r="O570" s="11"/>
      <c r="P570" s="11"/>
      <c r="Q570" s="11"/>
      <c r="R570" s="10"/>
    </row>
    <row r="571" spans="1:18" x14ac:dyDescent="0.3">
      <c r="A571" s="8"/>
      <c r="B571" s="10"/>
      <c r="D571" s="11"/>
      <c r="E571" s="11"/>
      <c r="F571" s="10"/>
      <c r="G571" s="11"/>
      <c r="H571" s="11"/>
      <c r="I571" s="11"/>
      <c r="J571" s="12"/>
      <c r="K571" s="11"/>
      <c r="L571" s="10"/>
      <c r="M571" s="10"/>
      <c r="N571" s="11"/>
      <c r="O571" s="11"/>
      <c r="P571" s="11"/>
      <c r="Q571" s="11"/>
      <c r="R571" s="10"/>
    </row>
    <row r="572" spans="1:18" x14ac:dyDescent="0.3">
      <c r="A572" s="8"/>
      <c r="B572" s="10"/>
      <c r="D572" s="11"/>
      <c r="E572" s="10"/>
      <c r="F572" s="10"/>
      <c r="G572" s="11"/>
      <c r="H572" s="11"/>
      <c r="I572" s="11"/>
      <c r="J572" s="12"/>
      <c r="K572" s="11"/>
      <c r="L572" s="10"/>
      <c r="M572" s="10"/>
      <c r="N572" s="11"/>
      <c r="O572" s="11"/>
      <c r="P572" s="11"/>
      <c r="Q572" s="11"/>
      <c r="R572" s="10"/>
    </row>
    <row r="573" spans="1:18" x14ac:dyDescent="0.3">
      <c r="A573" s="8"/>
      <c r="B573" s="10"/>
      <c r="D573" s="11"/>
      <c r="E573" s="11"/>
      <c r="F573" s="10"/>
      <c r="G573" s="11"/>
      <c r="H573" s="11"/>
      <c r="I573" s="11"/>
      <c r="J573" s="12"/>
      <c r="K573" s="11"/>
      <c r="L573" s="12"/>
      <c r="M573" s="12"/>
      <c r="N573" s="10"/>
      <c r="O573" s="11"/>
      <c r="P573" s="11"/>
      <c r="Q573" s="11"/>
      <c r="R573" s="11"/>
    </row>
    <row r="574" spans="1:18" x14ac:dyDescent="0.3">
      <c r="A574" s="8"/>
      <c r="B574" s="10"/>
      <c r="D574" s="11"/>
      <c r="E574" s="11"/>
      <c r="F574" s="10"/>
      <c r="G574" s="11"/>
      <c r="H574" s="11"/>
      <c r="I574" s="11"/>
      <c r="J574" s="12"/>
      <c r="K574" s="11"/>
      <c r="L574" s="10"/>
      <c r="M574" s="10"/>
      <c r="N574" s="11"/>
      <c r="O574" s="11"/>
      <c r="P574" s="11"/>
      <c r="Q574" s="11"/>
      <c r="R574" s="11"/>
    </row>
    <row r="575" spans="1:18" x14ac:dyDescent="0.3">
      <c r="A575" s="8"/>
      <c r="B575" s="10"/>
      <c r="D575" s="11"/>
      <c r="E575" s="11"/>
      <c r="F575" s="10"/>
      <c r="G575" s="11"/>
      <c r="H575" s="11"/>
      <c r="I575" s="11"/>
      <c r="J575" s="12"/>
      <c r="K575" s="11"/>
      <c r="L575" s="10"/>
      <c r="M575" s="10"/>
      <c r="N575" s="11"/>
      <c r="O575" s="11"/>
      <c r="P575" s="11"/>
      <c r="Q575" s="11"/>
      <c r="R575" s="11"/>
    </row>
    <row r="576" spans="1:18" x14ac:dyDescent="0.3">
      <c r="A576" s="8"/>
      <c r="B576" s="10"/>
      <c r="D576" s="11"/>
      <c r="E576" s="11"/>
      <c r="F576" s="10"/>
      <c r="G576" s="11"/>
      <c r="H576" s="11"/>
      <c r="I576" s="11"/>
      <c r="J576" s="12"/>
      <c r="K576" s="11"/>
      <c r="L576" s="10"/>
      <c r="M576" s="10"/>
      <c r="N576" s="11"/>
      <c r="O576" s="11"/>
      <c r="P576" s="11"/>
      <c r="Q576" s="11"/>
      <c r="R576" s="11"/>
    </row>
    <row r="577" spans="1:18" x14ac:dyDescent="0.3">
      <c r="A577" s="8"/>
      <c r="B577" s="10"/>
      <c r="D577" s="11"/>
      <c r="E577" s="11"/>
      <c r="F577" s="10"/>
      <c r="G577" s="11"/>
      <c r="H577" s="11"/>
      <c r="I577" s="11"/>
      <c r="J577" s="12"/>
      <c r="K577" s="11"/>
      <c r="L577" s="12"/>
      <c r="M577" s="12"/>
      <c r="N577" s="10"/>
      <c r="O577" s="11"/>
      <c r="P577" s="11"/>
      <c r="Q577" s="11"/>
      <c r="R577" s="11"/>
    </row>
    <row r="578" spans="1:18" x14ac:dyDescent="0.3">
      <c r="A578" s="8"/>
      <c r="B578" s="10"/>
      <c r="D578" s="11"/>
      <c r="E578" s="11"/>
      <c r="F578" s="10"/>
      <c r="G578" s="11"/>
      <c r="H578" s="10"/>
      <c r="I578" s="11"/>
      <c r="J578" s="11"/>
      <c r="K578" s="11"/>
      <c r="L578" s="10"/>
      <c r="M578" s="10"/>
      <c r="N578" s="11"/>
      <c r="O578" s="11"/>
      <c r="P578" s="11"/>
      <c r="Q578" s="11"/>
      <c r="R578" s="11"/>
    </row>
    <row r="579" spans="1:18" x14ac:dyDescent="0.3">
      <c r="A579" s="8"/>
      <c r="B579" s="10"/>
      <c r="D579" s="11"/>
      <c r="E579" s="11"/>
      <c r="F579" s="10"/>
      <c r="G579" s="11"/>
      <c r="H579" s="11"/>
      <c r="I579" s="11"/>
      <c r="J579" s="12"/>
      <c r="K579" s="11"/>
      <c r="L579" s="10"/>
      <c r="M579" s="10"/>
      <c r="N579" s="11"/>
      <c r="O579" s="11"/>
      <c r="P579" s="11"/>
      <c r="Q579" s="11"/>
      <c r="R579" s="11"/>
    </row>
    <row r="580" spans="1:18" x14ac:dyDescent="0.3">
      <c r="A580" s="8"/>
      <c r="B580" s="10"/>
      <c r="D580" s="11"/>
      <c r="E580" s="11"/>
      <c r="F580" s="10"/>
      <c r="G580" s="11"/>
      <c r="H580" s="11"/>
      <c r="I580" s="11"/>
      <c r="J580" s="12"/>
      <c r="K580" s="11"/>
      <c r="L580" s="10"/>
      <c r="M580" s="10"/>
      <c r="N580" s="11"/>
      <c r="O580" s="11"/>
      <c r="P580" s="11"/>
      <c r="Q580" s="11"/>
      <c r="R580" s="11"/>
    </row>
    <row r="581" spans="1:18" x14ac:dyDescent="0.3">
      <c r="A581" s="8"/>
      <c r="B581" s="10"/>
      <c r="D581" s="11"/>
      <c r="E581" s="11"/>
      <c r="F581" s="10"/>
      <c r="G581" s="11"/>
      <c r="H581" s="11"/>
      <c r="I581" s="11"/>
      <c r="J581" s="12"/>
      <c r="K581" s="11"/>
      <c r="L581" s="10"/>
      <c r="M581" s="10"/>
      <c r="N581" s="11"/>
      <c r="O581" s="11"/>
      <c r="P581" s="11"/>
      <c r="Q581" s="11"/>
      <c r="R581" s="11"/>
    </row>
    <row r="582" spans="1:18" x14ac:dyDescent="0.3">
      <c r="A582" s="8"/>
      <c r="B582" s="10"/>
      <c r="D582" s="11"/>
      <c r="E582" s="11"/>
      <c r="F582" s="10"/>
      <c r="G582" s="11"/>
      <c r="H582" s="11"/>
      <c r="I582" s="11"/>
      <c r="J582" s="12"/>
      <c r="K582" s="11"/>
      <c r="L582" s="10"/>
      <c r="M582" s="10"/>
      <c r="N582" s="11"/>
      <c r="O582" s="11"/>
      <c r="P582" s="11"/>
      <c r="Q582" s="11"/>
      <c r="R582" s="10"/>
    </row>
    <row r="583" spans="1:18" x14ac:dyDescent="0.3">
      <c r="A583" s="8"/>
      <c r="B583" s="10"/>
      <c r="D583" s="11"/>
      <c r="E583" s="11"/>
      <c r="F583" s="10"/>
      <c r="G583" s="11"/>
      <c r="H583" s="11"/>
      <c r="I583" s="11"/>
      <c r="J583" s="12"/>
      <c r="K583" s="11"/>
      <c r="L583" s="10"/>
      <c r="M583" s="10"/>
      <c r="N583" s="11"/>
      <c r="O583" s="11"/>
      <c r="P583" s="11"/>
      <c r="Q583" s="11"/>
      <c r="R583" s="11"/>
    </row>
    <row r="584" spans="1:18" x14ac:dyDescent="0.3">
      <c r="A584" s="8"/>
      <c r="B584" s="10"/>
      <c r="D584" s="11"/>
      <c r="E584" s="11"/>
      <c r="F584" s="10"/>
      <c r="G584" s="11"/>
      <c r="H584" s="11"/>
      <c r="I584" s="11"/>
      <c r="J584" s="12"/>
      <c r="K584" s="11"/>
      <c r="L584" s="12"/>
      <c r="M584" s="12"/>
      <c r="N584" s="10"/>
      <c r="O584" s="11"/>
      <c r="P584" s="11"/>
      <c r="Q584" s="11"/>
      <c r="R584" s="10"/>
    </row>
    <row r="585" spans="1:18" x14ac:dyDescent="0.3">
      <c r="A585" s="8"/>
      <c r="B585" s="10"/>
      <c r="D585" s="11"/>
      <c r="E585" s="11"/>
      <c r="F585" s="10"/>
      <c r="G585" s="11"/>
      <c r="H585" s="11"/>
      <c r="I585" s="11"/>
      <c r="J585" s="12"/>
      <c r="K585" s="11"/>
      <c r="L585" s="10"/>
      <c r="M585" s="10"/>
      <c r="N585" s="11"/>
      <c r="O585" s="11"/>
      <c r="P585" s="11"/>
      <c r="Q585" s="11"/>
      <c r="R585" s="11"/>
    </row>
    <row r="586" spans="1:18" x14ac:dyDescent="0.3">
      <c r="A586" s="8"/>
      <c r="B586" s="10"/>
      <c r="D586" s="11"/>
      <c r="E586" s="11"/>
      <c r="F586" s="10"/>
      <c r="G586" s="11"/>
      <c r="H586" s="11"/>
      <c r="I586" s="11"/>
      <c r="J586" s="12"/>
      <c r="K586" s="11"/>
      <c r="L586" s="10"/>
      <c r="M586" s="10"/>
      <c r="N586" s="11"/>
      <c r="O586" s="11"/>
      <c r="P586" s="11"/>
      <c r="Q586" s="11"/>
      <c r="R586" s="11"/>
    </row>
    <row r="587" spans="1:18" x14ac:dyDescent="0.3">
      <c r="A587" s="8"/>
      <c r="B587" s="10"/>
      <c r="D587" s="11"/>
      <c r="E587" s="11"/>
      <c r="F587" s="10"/>
      <c r="G587" s="11"/>
      <c r="H587" s="11"/>
      <c r="I587" s="11"/>
      <c r="J587" s="12"/>
      <c r="K587" s="11"/>
      <c r="L587" s="10"/>
      <c r="M587" s="10"/>
      <c r="N587" s="11"/>
      <c r="O587" s="11"/>
      <c r="P587" s="11"/>
      <c r="Q587" s="11"/>
      <c r="R587" s="11"/>
    </row>
    <row r="588" spans="1:18" x14ac:dyDescent="0.3">
      <c r="A588" s="8"/>
      <c r="B588" s="10"/>
      <c r="D588" s="11"/>
      <c r="E588" s="11"/>
      <c r="F588" s="10"/>
      <c r="G588" s="11"/>
      <c r="H588" s="11"/>
      <c r="I588" s="11"/>
      <c r="J588" s="12"/>
      <c r="K588" s="11"/>
      <c r="L588" s="10"/>
      <c r="M588" s="10"/>
      <c r="N588" s="11"/>
      <c r="O588" s="11"/>
      <c r="P588" s="11"/>
      <c r="Q588" s="11"/>
      <c r="R588" s="10"/>
    </row>
    <row r="589" spans="1:18" x14ac:dyDescent="0.3">
      <c r="A589" s="8"/>
      <c r="B589" s="10"/>
      <c r="D589" s="11"/>
      <c r="E589" s="11"/>
      <c r="F589" s="10"/>
      <c r="G589" s="11"/>
      <c r="H589" s="11"/>
      <c r="I589" s="11"/>
      <c r="J589" s="12"/>
      <c r="K589" s="11"/>
      <c r="L589" s="12"/>
      <c r="M589" s="12"/>
      <c r="N589" s="10"/>
      <c r="O589" s="11"/>
      <c r="P589" s="11"/>
      <c r="Q589" s="11"/>
      <c r="R589" s="10"/>
    </row>
    <row r="590" spans="1:18" x14ac:dyDescent="0.3">
      <c r="A590" s="8"/>
      <c r="B590" s="10"/>
      <c r="D590" s="11"/>
      <c r="E590" s="11"/>
      <c r="F590" s="10"/>
      <c r="G590" s="11"/>
      <c r="H590" s="11"/>
      <c r="I590" s="11"/>
      <c r="J590" s="12"/>
      <c r="K590" s="11"/>
      <c r="L590" s="10"/>
      <c r="M590" s="10"/>
      <c r="N590" s="11"/>
      <c r="O590" s="11"/>
      <c r="P590" s="11"/>
      <c r="Q590" s="11"/>
      <c r="R590" s="11"/>
    </row>
    <row r="591" spans="1:18" x14ac:dyDescent="0.3">
      <c r="A591" s="8"/>
      <c r="B591" s="10"/>
      <c r="D591" s="11"/>
      <c r="E591" s="11"/>
      <c r="F591" s="10"/>
      <c r="G591" s="11"/>
      <c r="H591" s="11"/>
      <c r="I591" s="11"/>
      <c r="J591" s="12"/>
      <c r="K591" s="11"/>
      <c r="L591" s="12"/>
      <c r="M591" s="12"/>
      <c r="N591" s="10"/>
      <c r="O591" s="11"/>
      <c r="P591" s="11"/>
      <c r="Q591" s="11"/>
      <c r="R591" s="11"/>
    </row>
    <row r="592" spans="1:18" x14ac:dyDescent="0.3">
      <c r="A592" s="8"/>
      <c r="B592" s="10"/>
      <c r="D592" s="11"/>
      <c r="E592" s="11"/>
      <c r="F592" s="10"/>
      <c r="G592" s="11"/>
      <c r="H592" s="11"/>
      <c r="I592" s="11"/>
      <c r="J592" s="12"/>
      <c r="K592" s="11"/>
      <c r="L592" s="10"/>
      <c r="M592" s="10"/>
      <c r="N592" s="11"/>
      <c r="O592" s="11"/>
      <c r="P592" s="11"/>
      <c r="Q592" s="11"/>
      <c r="R592" s="10"/>
    </row>
    <row r="593" spans="1:18" x14ac:dyDescent="0.3">
      <c r="A593" s="8"/>
      <c r="B593" s="10"/>
      <c r="D593" s="11"/>
      <c r="E593" s="11"/>
      <c r="F593" s="10"/>
      <c r="G593" s="11"/>
      <c r="H593" s="11"/>
      <c r="I593" s="11"/>
      <c r="J593" s="12"/>
      <c r="K593" s="11"/>
      <c r="L593" s="10"/>
      <c r="M593" s="10"/>
      <c r="N593" s="11"/>
      <c r="O593" s="11"/>
      <c r="P593" s="11"/>
      <c r="Q593" s="11"/>
      <c r="R593" s="11"/>
    </row>
    <row r="594" spans="1:18" x14ac:dyDescent="0.3">
      <c r="A594" s="8"/>
      <c r="B594" s="10"/>
      <c r="D594" s="11"/>
      <c r="E594" s="11"/>
      <c r="F594" s="10"/>
      <c r="G594" s="11"/>
      <c r="H594" s="11"/>
      <c r="I594" s="11"/>
      <c r="J594" s="12"/>
      <c r="K594" s="11"/>
      <c r="L594" s="10"/>
      <c r="M594" s="10"/>
      <c r="N594" s="11"/>
      <c r="O594" s="11"/>
      <c r="P594" s="11"/>
      <c r="Q594" s="11"/>
      <c r="R594" s="10"/>
    </row>
    <row r="595" spans="1:18" x14ac:dyDescent="0.3">
      <c r="A595" s="8"/>
      <c r="B595" s="10"/>
      <c r="D595" s="11"/>
      <c r="E595" s="11"/>
      <c r="F595" s="10"/>
      <c r="G595" s="11"/>
      <c r="H595" s="11"/>
      <c r="I595" s="11"/>
      <c r="J595" s="12"/>
      <c r="K595" s="11"/>
      <c r="L595" s="10"/>
      <c r="M595" s="10"/>
      <c r="N595" s="11"/>
      <c r="O595" s="11"/>
      <c r="P595" s="11"/>
      <c r="Q595" s="11"/>
      <c r="R595" s="11"/>
    </row>
    <row r="596" spans="1:18" x14ac:dyDescent="0.3">
      <c r="A596" s="8"/>
      <c r="B596" s="10"/>
      <c r="D596" s="11"/>
      <c r="E596" s="11"/>
      <c r="F596" s="10"/>
      <c r="G596" s="11"/>
      <c r="H596" s="11"/>
      <c r="I596" s="11"/>
      <c r="J596" s="12"/>
      <c r="K596" s="11"/>
      <c r="L596" s="10"/>
      <c r="M596" s="10"/>
      <c r="N596" s="11"/>
      <c r="O596" s="11"/>
      <c r="P596" s="11"/>
      <c r="Q596" s="11"/>
      <c r="R596" s="11"/>
    </row>
    <row r="597" spans="1:18" x14ac:dyDescent="0.3">
      <c r="A597" s="8"/>
      <c r="B597" s="10"/>
      <c r="D597" s="11"/>
      <c r="E597" s="11"/>
      <c r="F597" s="10"/>
      <c r="G597" s="11"/>
      <c r="H597" s="11"/>
      <c r="I597" s="11"/>
      <c r="J597" s="12"/>
      <c r="K597" s="11"/>
      <c r="L597" s="10"/>
      <c r="M597" s="10"/>
      <c r="N597" s="11"/>
      <c r="O597" s="11"/>
      <c r="P597" s="11"/>
      <c r="Q597" s="11"/>
      <c r="R597" s="11"/>
    </row>
    <row r="598" spans="1:18" x14ac:dyDescent="0.3">
      <c r="A598" s="8"/>
      <c r="B598" s="10"/>
      <c r="D598" s="11"/>
      <c r="E598" s="11"/>
      <c r="F598" s="10"/>
      <c r="G598" s="11"/>
      <c r="H598" s="11"/>
      <c r="I598" s="11"/>
      <c r="J598" s="12"/>
      <c r="K598" s="11"/>
      <c r="L598" s="10"/>
      <c r="M598" s="10"/>
      <c r="N598" s="11"/>
      <c r="O598" s="11"/>
      <c r="P598" s="11"/>
      <c r="Q598" s="11"/>
      <c r="R598" s="11"/>
    </row>
    <row r="599" spans="1:18" x14ac:dyDescent="0.3">
      <c r="A599" s="8"/>
      <c r="B599" s="10"/>
      <c r="D599" s="11"/>
      <c r="E599" s="11"/>
      <c r="F599" s="10"/>
      <c r="G599" s="11"/>
      <c r="H599" s="11"/>
      <c r="I599" s="11"/>
      <c r="J599" s="12"/>
      <c r="K599" s="11"/>
      <c r="L599" s="10"/>
      <c r="M599" s="10"/>
      <c r="N599" s="11"/>
      <c r="O599" s="11"/>
      <c r="P599" s="11"/>
      <c r="Q599" s="11"/>
      <c r="R599" s="10"/>
    </row>
    <row r="600" spans="1:18" x14ac:dyDescent="0.3">
      <c r="A600" s="8"/>
      <c r="B600" s="10"/>
      <c r="D600" s="11"/>
      <c r="E600" s="11"/>
      <c r="F600" s="10"/>
      <c r="G600" s="11"/>
      <c r="H600" s="11"/>
      <c r="I600" s="11"/>
      <c r="J600" s="12"/>
      <c r="K600" s="11"/>
      <c r="L600" s="10"/>
      <c r="M600" s="10"/>
      <c r="N600" s="11"/>
      <c r="O600" s="11"/>
      <c r="P600" s="11"/>
      <c r="Q600" s="11"/>
      <c r="R600" s="10"/>
    </row>
    <row r="601" spans="1:18" x14ac:dyDescent="0.3">
      <c r="A601" s="8"/>
      <c r="B601" s="10"/>
      <c r="D601" s="11"/>
      <c r="E601" s="11"/>
      <c r="F601" s="10"/>
      <c r="G601" s="11"/>
      <c r="H601" s="11"/>
      <c r="I601" s="11"/>
      <c r="J601" s="12"/>
      <c r="K601" s="11"/>
      <c r="L601" s="12"/>
      <c r="M601" s="12"/>
      <c r="N601" s="10"/>
      <c r="O601" s="11"/>
      <c r="P601" s="11"/>
      <c r="Q601" s="11"/>
      <c r="R601" s="11"/>
    </row>
    <row r="602" spans="1:18" x14ac:dyDescent="0.3">
      <c r="A602" s="8"/>
      <c r="B602" s="10"/>
      <c r="D602" s="11"/>
      <c r="E602" s="11"/>
      <c r="F602" s="10"/>
      <c r="G602" s="11"/>
      <c r="H602" s="11"/>
      <c r="I602" s="11"/>
      <c r="J602" s="12"/>
      <c r="K602" s="11"/>
      <c r="L602" s="10"/>
      <c r="M602" s="10"/>
      <c r="N602" s="11"/>
      <c r="O602" s="11"/>
      <c r="P602" s="11"/>
      <c r="Q602" s="11"/>
      <c r="R602" s="11"/>
    </row>
    <row r="603" spans="1:18" x14ac:dyDescent="0.3">
      <c r="A603" s="8"/>
      <c r="B603" s="10"/>
      <c r="D603" s="11"/>
      <c r="E603" s="11"/>
      <c r="F603" s="10"/>
      <c r="G603" s="11"/>
      <c r="H603" s="11"/>
      <c r="I603" s="11"/>
      <c r="J603" s="12"/>
      <c r="K603" s="11"/>
      <c r="L603" s="10"/>
      <c r="M603" s="10"/>
      <c r="N603" s="11"/>
      <c r="O603" s="11"/>
      <c r="P603" s="11"/>
      <c r="Q603" s="11"/>
      <c r="R603" s="11"/>
    </row>
    <row r="604" spans="1:18" x14ac:dyDescent="0.3">
      <c r="A604" s="8"/>
      <c r="B604" s="10"/>
      <c r="D604" s="11"/>
      <c r="E604" s="11"/>
      <c r="F604" s="10"/>
      <c r="G604" s="11"/>
      <c r="H604" s="11"/>
      <c r="I604" s="11"/>
      <c r="J604" s="12"/>
      <c r="K604" s="11"/>
      <c r="L604" s="12"/>
      <c r="M604" s="12"/>
      <c r="N604" s="10"/>
      <c r="O604" s="11"/>
      <c r="P604" s="11"/>
      <c r="Q604" s="11"/>
      <c r="R604" s="10"/>
    </row>
    <row r="605" spans="1:18" x14ac:dyDescent="0.3">
      <c r="A605" s="8"/>
      <c r="B605" s="10"/>
      <c r="D605" s="11"/>
      <c r="E605" s="11"/>
      <c r="F605" s="10"/>
      <c r="G605" s="11"/>
      <c r="H605" s="11"/>
      <c r="I605" s="11"/>
      <c r="J605" s="12"/>
      <c r="K605" s="11"/>
      <c r="L605" s="12"/>
      <c r="M605" s="12"/>
      <c r="N605" s="10"/>
      <c r="O605" s="11"/>
      <c r="P605" s="11"/>
      <c r="Q605" s="11"/>
      <c r="R605" s="10"/>
    </row>
    <row r="606" spans="1:18" x14ac:dyDescent="0.3">
      <c r="A606" s="8"/>
      <c r="B606" s="10"/>
      <c r="D606" s="11"/>
      <c r="E606" s="11"/>
      <c r="F606" s="10"/>
      <c r="G606" s="11"/>
      <c r="H606" s="11"/>
      <c r="I606" s="11"/>
      <c r="J606" s="12"/>
      <c r="K606" s="11"/>
      <c r="L606" s="12"/>
      <c r="M606" s="12"/>
      <c r="N606" s="10"/>
      <c r="O606" s="11"/>
      <c r="P606" s="11"/>
      <c r="Q606" s="11"/>
      <c r="R606" s="10"/>
    </row>
    <row r="607" spans="1:18" x14ac:dyDescent="0.3">
      <c r="A607" s="8"/>
      <c r="B607" s="10"/>
      <c r="D607" s="11"/>
      <c r="E607" s="11"/>
      <c r="F607" s="10"/>
      <c r="G607" s="11"/>
      <c r="H607" s="11"/>
      <c r="I607" s="11"/>
      <c r="J607" s="12"/>
      <c r="K607" s="11"/>
      <c r="L607" s="12"/>
      <c r="M607" s="12"/>
      <c r="N607" s="10"/>
      <c r="O607" s="11"/>
      <c r="P607" s="11"/>
      <c r="Q607" s="11"/>
      <c r="R607" s="10"/>
    </row>
    <row r="608" spans="1:18" x14ac:dyDescent="0.3">
      <c r="A608" s="8"/>
      <c r="B608" s="11"/>
      <c r="D608" s="11"/>
      <c r="E608" s="11"/>
      <c r="F608" s="11"/>
      <c r="H608" s="11"/>
      <c r="I608" s="11"/>
      <c r="J608" s="12"/>
      <c r="K608" s="11"/>
      <c r="L608" s="12"/>
      <c r="M608" s="12"/>
      <c r="N608" s="11"/>
      <c r="O608" s="11"/>
      <c r="P608" s="11"/>
      <c r="Q608" s="11"/>
      <c r="R608" s="11"/>
    </row>
    <row r="609" spans="1:18" x14ac:dyDescent="0.3">
      <c r="A609" s="8"/>
      <c r="B609" s="10"/>
      <c r="D609" s="10"/>
      <c r="E609" s="11"/>
      <c r="F609" s="10"/>
      <c r="G609" s="11"/>
      <c r="H609" s="11"/>
      <c r="I609" s="11"/>
      <c r="J609" s="12"/>
      <c r="K609" s="11"/>
      <c r="L609" s="10"/>
      <c r="M609" s="10"/>
      <c r="N609" s="11"/>
      <c r="O609" s="11"/>
      <c r="P609" s="11"/>
      <c r="Q609" s="11"/>
      <c r="R609" s="11"/>
    </row>
    <row r="610" spans="1:18" x14ac:dyDescent="0.3">
      <c r="A610" s="8"/>
      <c r="B610" s="10"/>
      <c r="D610" s="11"/>
      <c r="E610" s="11"/>
      <c r="F610" s="10"/>
      <c r="G610" s="11"/>
      <c r="H610" s="11"/>
      <c r="I610" s="11"/>
      <c r="J610" s="12"/>
      <c r="K610" s="11"/>
      <c r="L610" s="10"/>
      <c r="M610" s="10"/>
      <c r="N610" s="11"/>
      <c r="O610" s="11"/>
      <c r="P610" s="11"/>
      <c r="Q610" s="11"/>
      <c r="R610" s="11"/>
    </row>
    <row r="611" spans="1:18" x14ac:dyDescent="0.3">
      <c r="A611" s="8"/>
      <c r="B611" s="10"/>
      <c r="D611" s="11"/>
      <c r="E611" s="11"/>
      <c r="F611" s="10"/>
      <c r="G611" s="11"/>
      <c r="H611" s="11"/>
      <c r="I611" s="11"/>
      <c r="J611" s="12"/>
      <c r="K611" s="11"/>
      <c r="L611" s="10"/>
      <c r="M611" s="10"/>
      <c r="N611" s="11"/>
      <c r="O611" s="11"/>
      <c r="P611" s="11"/>
      <c r="Q611" s="11"/>
      <c r="R611" s="11"/>
    </row>
    <row r="612" spans="1:18" x14ac:dyDescent="0.3">
      <c r="A612" s="8"/>
      <c r="B612" s="10"/>
      <c r="D612" s="11"/>
      <c r="E612" s="11"/>
      <c r="F612" s="10"/>
      <c r="G612" s="11"/>
      <c r="H612" s="11"/>
      <c r="I612" s="11"/>
      <c r="J612" s="12"/>
      <c r="K612" s="11"/>
      <c r="L612" s="10"/>
      <c r="M612" s="10"/>
      <c r="N612" s="11"/>
      <c r="O612" s="11"/>
      <c r="P612" s="11"/>
      <c r="Q612" s="11"/>
      <c r="R612" s="11"/>
    </row>
    <row r="613" spans="1:18" x14ac:dyDescent="0.3">
      <c r="A613" s="8"/>
      <c r="B613" s="10"/>
      <c r="D613" s="11"/>
      <c r="E613" s="11"/>
      <c r="F613" s="10"/>
      <c r="G613" s="11"/>
      <c r="H613" s="11"/>
      <c r="I613" s="11"/>
      <c r="J613" s="12"/>
      <c r="K613" s="11"/>
      <c r="L613" s="10"/>
      <c r="M613" s="10"/>
      <c r="N613" s="11"/>
      <c r="O613" s="11"/>
      <c r="P613" s="11"/>
      <c r="Q613" s="11"/>
      <c r="R613" s="11"/>
    </row>
    <row r="614" spans="1:18" x14ac:dyDescent="0.3">
      <c r="A614" s="8"/>
      <c r="B614" s="10"/>
      <c r="D614" s="11"/>
      <c r="E614" s="11"/>
      <c r="F614" s="10"/>
      <c r="G614" s="11"/>
      <c r="H614" s="11"/>
      <c r="I614" s="11"/>
      <c r="J614" s="12"/>
      <c r="K614" s="11"/>
      <c r="L614" s="10"/>
      <c r="M614" s="10"/>
      <c r="N614" s="11"/>
      <c r="O614" s="11"/>
      <c r="P614" s="11"/>
      <c r="Q614" s="11"/>
      <c r="R614" s="11"/>
    </row>
    <row r="615" spans="1:18" x14ac:dyDescent="0.3">
      <c r="A615" s="8"/>
      <c r="B615" s="10"/>
      <c r="D615" s="11"/>
      <c r="E615" s="11"/>
      <c r="F615" s="10"/>
      <c r="G615" s="11"/>
      <c r="H615" s="11"/>
      <c r="I615" s="11"/>
      <c r="J615" s="12"/>
      <c r="K615" s="11"/>
      <c r="L615" s="10"/>
      <c r="M615" s="10"/>
      <c r="N615" s="11"/>
      <c r="O615" s="11"/>
      <c r="P615" s="11"/>
      <c r="Q615" s="11"/>
      <c r="R615" s="11"/>
    </row>
    <row r="616" spans="1:18" x14ac:dyDescent="0.3">
      <c r="A616" s="8"/>
      <c r="B616" s="10"/>
      <c r="D616" s="11"/>
      <c r="E616" s="11"/>
      <c r="F616" s="10"/>
      <c r="G616" s="11"/>
      <c r="H616" s="11"/>
      <c r="I616" s="11"/>
      <c r="J616" s="12"/>
      <c r="K616" s="11"/>
      <c r="L616" s="10"/>
      <c r="M616" s="10"/>
      <c r="N616" s="11"/>
      <c r="O616" s="11"/>
      <c r="P616" s="11"/>
      <c r="Q616" s="11"/>
      <c r="R616" s="11"/>
    </row>
    <row r="617" spans="1:18" x14ac:dyDescent="0.3">
      <c r="A617" s="8"/>
      <c r="B617" s="10"/>
      <c r="D617" s="11"/>
      <c r="E617" s="11"/>
      <c r="F617" s="10"/>
      <c r="G617" s="11"/>
      <c r="H617" s="11"/>
      <c r="I617" s="11"/>
      <c r="J617" s="12"/>
      <c r="K617" s="11"/>
      <c r="L617" s="10"/>
      <c r="M617" s="10"/>
      <c r="N617" s="11"/>
      <c r="O617" s="11"/>
      <c r="P617" s="11"/>
      <c r="Q617" s="11"/>
      <c r="R617" s="11"/>
    </row>
    <row r="618" spans="1:18" x14ac:dyDescent="0.3">
      <c r="A618" s="8"/>
      <c r="B618" s="10"/>
      <c r="D618" s="11"/>
      <c r="E618" s="11"/>
      <c r="F618" s="10"/>
      <c r="G618" s="11"/>
      <c r="H618" s="11"/>
      <c r="I618" s="11"/>
      <c r="J618" s="12"/>
      <c r="K618" s="11"/>
      <c r="L618" s="10"/>
      <c r="M618" s="10"/>
      <c r="N618" s="11"/>
      <c r="O618" s="11"/>
      <c r="P618" s="11"/>
      <c r="Q618" s="11"/>
      <c r="R618" s="11"/>
    </row>
    <row r="619" spans="1:18" x14ac:dyDescent="0.3">
      <c r="A619" s="8"/>
      <c r="B619" s="10"/>
      <c r="D619" s="11"/>
      <c r="E619" s="11"/>
      <c r="F619" s="10"/>
      <c r="G619" s="11"/>
      <c r="H619" s="11"/>
      <c r="I619" s="11"/>
      <c r="J619" s="12"/>
      <c r="K619" s="11"/>
      <c r="L619" s="12"/>
      <c r="M619" s="12"/>
      <c r="N619" s="10"/>
      <c r="O619" s="11"/>
      <c r="P619" s="11"/>
      <c r="Q619" s="11"/>
      <c r="R619" s="11"/>
    </row>
    <row r="620" spans="1:18" x14ac:dyDescent="0.3">
      <c r="A620" s="8"/>
      <c r="B620" s="10"/>
      <c r="D620" s="11"/>
      <c r="E620" s="11"/>
      <c r="F620" s="10"/>
      <c r="H620" s="11"/>
      <c r="I620" s="11"/>
      <c r="J620" s="12"/>
      <c r="K620" s="11"/>
      <c r="L620" s="12"/>
      <c r="M620" s="12"/>
      <c r="N620" s="10"/>
      <c r="O620" s="11"/>
      <c r="P620" s="11"/>
      <c r="Q620" s="11"/>
      <c r="R620" s="11"/>
    </row>
    <row r="621" spans="1:18" x14ac:dyDescent="0.3">
      <c r="A621" s="27"/>
      <c r="B621" s="10"/>
      <c r="D621" s="28"/>
      <c r="E621" s="28"/>
      <c r="F621" s="10"/>
      <c r="G621" s="11"/>
      <c r="H621" s="28"/>
      <c r="I621" s="28"/>
      <c r="J621" s="28"/>
      <c r="K621" s="28"/>
      <c r="L621" s="28"/>
      <c r="M621" s="28"/>
      <c r="N621" s="10"/>
      <c r="O621" s="28"/>
      <c r="P621" s="28"/>
      <c r="Q621" s="28"/>
      <c r="R621" s="28"/>
    </row>
    <row r="622" spans="1:18" x14ac:dyDescent="0.3">
      <c r="A622" s="8"/>
      <c r="B622" s="10"/>
      <c r="D622" s="11"/>
      <c r="E622" s="11"/>
      <c r="F622" s="10"/>
      <c r="G622" s="11"/>
      <c r="H622" s="11"/>
      <c r="I622" s="11"/>
      <c r="J622" s="12"/>
      <c r="K622" s="11"/>
      <c r="L622" s="12"/>
      <c r="M622" s="12"/>
      <c r="N622" s="10"/>
      <c r="O622" s="11"/>
      <c r="P622" s="11"/>
      <c r="Q622" s="11"/>
      <c r="R622" s="11"/>
    </row>
    <row r="623" spans="1:18" x14ac:dyDescent="0.3">
      <c r="A623" s="8"/>
      <c r="B623" s="10"/>
      <c r="D623" s="11"/>
      <c r="E623" s="11"/>
      <c r="F623" s="10"/>
      <c r="G623" s="11"/>
      <c r="H623" s="11"/>
      <c r="I623" s="11"/>
      <c r="J623" s="12"/>
      <c r="K623" s="11"/>
      <c r="L623" s="12"/>
      <c r="M623" s="12"/>
      <c r="N623" s="11"/>
      <c r="O623" s="11"/>
      <c r="P623" s="11"/>
      <c r="Q623" s="11"/>
      <c r="R623" s="11"/>
    </row>
    <row r="624" spans="1:18" x14ac:dyDescent="0.3">
      <c r="A624" s="8"/>
      <c r="B624" s="10"/>
      <c r="D624" s="11"/>
      <c r="E624" s="11"/>
      <c r="F624" s="10"/>
      <c r="G624" s="11"/>
      <c r="H624" s="11"/>
      <c r="I624" s="11"/>
      <c r="J624" s="12"/>
      <c r="K624" s="11"/>
      <c r="L624" s="12"/>
      <c r="M624" s="12"/>
      <c r="N624" s="10"/>
      <c r="O624" s="11"/>
      <c r="P624" s="11"/>
      <c r="Q624" s="11"/>
      <c r="R624" s="11"/>
    </row>
    <row r="625" spans="1:18" x14ac:dyDescent="0.3">
      <c r="A625" s="8"/>
      <c r="B625" s="10"/>
      <c r="D625" s="11"/>
      <c r="E625" s="11"/>
      <c r="F625" s="10"/>
      <c r="G625" s="11"/>
      <c r="H625" s="11"/>
      <c r="I625" s="11"/>
      <c r="J625" s="12"/>
      <c r="K625" s="11"/>
      <c r="L625" s="12"/>
      <c r="M625" s="12"/>
      <c r="N625" s="11"/>
      <c r="O625" s="11"/>
      <c r="P625" s="11"/>
      <c r="Q625" s="11"/>
      <c r="R625" s="11"/>
    </row>
    <row r="626" spans="1:18" x14ac:dyDescent="0.3">
      <c r="A626" s="8"/>
      <c r="B626" s="10"/>
      <c r="D626" s="11"/>
      <c r="E626" s="11"/>
      <c r="F626" s="10"/>
      <c r="G626" s="11"/>
      <c r="H626" s="11"/>
      <c r="I626" s="11"/>
      <c r="J626" s="12"/>
      <c r="K626" s="11"/>
      <c r="L626" s="12"/>
      <c r="M626" s="12"/>
      <c r="N626" s="10"/>
      <c r="O626" s="11"/>
      <c r="P626" s="11"/>
      <c r="Q626" s="11"/>
      <c r="R626" s="11"/>
    </row>
    <row r="627" spans="1:18" x14ac:dyDescent="0.3">
      <c r="A627" s="8"/>
      <c r="B627" s="10"/>
      <c r="D627" s="11"/>
      <c r="E627" s="11"/>
      <c r="F627" s="10"/>
      <c r="G627" s="11"/>
      <c r="H627" s="11"/>
      <c r="I627" s="11"/>
      <c r="J627" s="12"/>
      <c r="K627" s="11"/>
      <c r="L627" s="12"/>
      <c r="M627" s="12"/>
      <c r="N627" s="10"/>
      <c r="O627" s="11"/>
      <c r="P627" s="11"/>
      <c r="Q627" s="11"/>
      <c r="R627" s="11"/>
    </row>
    <row r="628" spans="1:18" x14ac:dyDescent="0.3">
      <c r="A628" s="8"/>
      <c r="B628" s="10"/>
      <c r="D628" s="11"/>
      <c r="E628" s="11"/>
      <c r="F628" s="10"/>
      <c r="G628" s="11"/>
      <c r="H628" s="11"/>
      <c r="I628" s="11"/>
      <c r="J628" s="12"/>
      <c r="K628" s="11"/>
      <c r="L628" s="10"/>
      <c r="M628" s="10"/>
      <c r="N628" s="11"/>
      <c r="O628" s="11"/>
      <c r="P628" s="11"/>
      <c r="Q628" s="11"/>
      <c r="R628" s="11"/>
    </row>
    <row r="629" spans="1:18" x14ac:dyDescent="0.3">
      <c r="A629" s="8"/>
      <c r="B629" s="10"/>
      <c r="D629" s="11"/>
      <c r="E629" s="11"/>
      <c r="F629" s="10"/>
      <c r="G629" s="11"/>
      <c r="H629" s="11"/>
      <c r="I629" s="11"/>
      <c r="J629" s="12"/>
      <c r="K629" s="11"/>
      <c r="L629" s="10"/>
      <c r="M629" s="10"/>
      <c r="N629" s="11"/>
      <c r="O629" s="11"/>
      <c r="P629" s="11"/>
      <c r="Q629" s="11"/>
      <c r="R629" s="11"/>
    </row>
    <row r="630" spans="1:18" x14ac:dyDescent="0.3">
      <c r="A630" s="8"/>
      <c r="B630" s="10"/>
      <c r="D630" s="11"/>
      <c r="E630" s="11"/>
      <c r="F630" s="10"/>
      <c r="G630" s="11"/>
      <c r="H630" s="11"/>
      <c r="I630" s="11"/>
      <c r="J630" s="12"/>
      <c r="K630" s="11"/>
      <c r="L630" s="10"/>
      <c r="M630" s="10"/>
      <c r="N630" s="11"/>
      <c r="O630" s="11"/>
      <c r="P630" s="11"/>
      <c r="Q630" s="11"/>
      <c r="R630" s="10"/>
    </row>
    <row r="631" spans="1:18" x14ac:dyDescent="0.3">
      <c r="A631" s="8"/>
      <c r="B631" s="10"/>
      <c r="D631" s="11"/>
      <c r="E631" s="11"/>
      <c r="F631" s="10"/>
      <c r="G631" s="11"/>
      <c r="H631" s="11"/>
      <c r="I631" s="11"/>
      <c r="J631" s="12"/>
      <c r="K631" s="11"/>
      <c r="L631" s="10"/>
      <c r="M631" s="10"/>
      <c r="N631" s="11"/>
      <c r="O631" s="11"/>
      <c r="P631" s="11"/>
      <c r="Q631" s="11"/>
      <c r="R631" s="10"/>
    </row>
    <row r="632" spans="1:18" x14ac:dyDescent="0.3">
      <c r="A632" s="8"/>
      <c r="B632" s="10"/>
      <c r="D632" s="11"/>
      <c r="E632" s="11"/>
      <c r="F632" s="10"/>
      <c r="G632" s="11"/>
      <c r="H632" s="11"/>
      <c r="I632" s="11"/>
      <c r="J632" s="12"/>
      <c r="K632" s="11"/>
      <c r="L632" s="10"/>
      <c r="M632" s="10"/>
      <c r="N632" s="11"/>
      <c r="O632" s="11"/>
      <c r="P632" s="11"/>
      <c r="Q632" s="11"/>
      <c r="R632" s="10"/>
    </row>
    <row r="633" spans="1:18" x14ac:dyDescent="0.3">
      <c r="A633" s="8"/>
      <c r="B633" s="10"/>
      <c r="D633" s="11"/>
      <c r="E633" s="11"/>
      <c r="F633" s="10"/>
      <c r="G633" s="11"/>
      <c r="H633" s="11"/>
      <c r="I633" s="11"/>
      <c r="J633" s="12"/>
      <c r="K633" s="11"/>
      <c r="L633" s="10"/>
      <c r="M633" s="10"/>
      <c r="N633" s="11"/>
      <c r="O633" s="11"/>
      <c r="P633" s="11"/>
      <c r="Q633" s="11"/>
      <c r="R633" s="10"/>
    </row>
    <row r="634" spans="1:18" x14ac:dyDescent="0.3">
      <c r="A634" s="8"/>
      <c r="B634" s="10"/>
      <c r="D634" s="10"/>
      <c r="E634" s="11"/>
      <c r="F634" s="10"/>
      <c r="G634" s="11"/>
      <c r="H634" s="11"/>
      <c r="I634" s="11"/>
      <c r="J634" s="12"/>
      <c r="K634" s="11"/>
      <c r="L634" s="10"/>
      <c r="M634" s="10"/>
      <c r="N634" s="11"/>
      <c r="O634" s="11"/>
      <c r="P634" s="11"/>
      <c r="Q634" s="11"/>
      <c r="R634" s="10"/>
    </row>
    <row r="635" spans="1:18" x14ac:dyDescent="0.3">
      <c r="A635" s="8"/>
      <c r="B635" s="10"/>
      <c r="D635" s="11"/>
      <c r="E635" s="11"/>
      <c r="F635" s="10"/>
      <c r="G635" s="11"/>
      <c r="H635" s="11"/>
      <c r="I635" s="11"/>
      <c r="J635" s="12"/>
      <c r="K635" s="11"/>
      <c r="L635" s="10"/>
      <c r="M635" s="10"/>
      <c r="N635" s="11"/>
      <c r="O635" s="11"/>
      <c r="P635" s="11"/>
      <c r="Q635" s="11"/>
      <c r="R635" s="10"/>
    </row>
    <row r="636" spans="1:18" x14ac:dyDescent="0.3">
      <c r="A636" s="8"/>
      <c r="B636" s="10"/>
      <c r="D636" s="11"/>
      <c r="E636" s="11"/>
      <c r="F636" s="10"/>
      <c r="G636" s="11"/>
      <c r="H636" s="11"/>
      <c r="I636" s="11"/>
      <c r="J636" s="12"/>
      <c r="K636" s="11"/>
      <c r="L636" s="10"/>
      <c r="M636" s="10"/>
      <c r="N636" s="11"/>
      <c r="O636" s="11"/>
      <c r="P636" s="11"/>
      <c r="Q636" s="11"/>
      <c r="R636" s="11"/>
    </row>
    <row r="637" spans="1:18" x14ac:dyDescent="0.3">
      <c r="A637" s="8"/>
      <c r="B637" s="10"/>
      <c r="D637" s="11"/>
      <c r="E637" s="11"/>
      <c r="F637" s="10"/>
      <c r="G637" s="11"/>
      <c r="H637" s="11"/>
      <c r="I637" s="11"/>
      <c r="J637" s="12"/>
      <c r="K637" s="11"/>
      <c r="L637" s="10"/>
      <c r="M637" s="10"/>
      <c r="N637" s="11"/>
      <c r="O637" s="11"/>
      <c r="P637" s="11"/>
      <c r="Q637" s="11"/>
      <c r="R637" s="10"/>
    </row>
    <row r="638" spans="1:18" x14ac:dyDescent="0.3">
      <c r="A638" s="8"/>
      <c r="B638" s="10"/>
      <c r="D638" s="10"/>
      <c r="E638" s="11"/>
      <c r="F638" s="10"/>
      <c r="G638" s="11"/>
      <c r="H638" s="11"/>
      <c r="I638" s="11"/>
      <c r="J638" s="12"/>
      <c r="K638" s="11"/>
      <c r="L638" s="10"/>
      <c r="M638" s="10"/>
      <c r="N638" s="11"/>
      <c r="O638" s="11"/>
      <c r="P638" s="11"/>
      <c r="Q638" s="11"/>
      <c r="R638" s="11"/>
    </row>
    <row r="639" spans="1:18" x14ac:dyDescent="0.3">
      <c r="A639" s="8"/>
      <c r="B639" s="10"/>
      <c r="D639" s="11"/>
      <c r="E639" s="11"/>
      <c r="F639" s="10"/>
      <c r="G639" s="11"/>
      <c r="H639" s="11"/>
      <c r="I639" s="11"/>
      <c r="J639" s="12"/>
      <c r="K639" s="11"/>
      <c r="L639" s="10"/>
      <c r="M639" s="10"/>
      <c r="N639" s="11"/>
      <c r="O639" s="11"/>
      <c r="P639" s="11"/>
      <c r="Q639" s="11"/>
      <c r="R639" s="11"/>
    </row>
    <row r="640" spans="1:18" x14ac:dyDescent="0.3">
      <c r="A640" s="8"/>
      <c r="B640" s="10"/>
      <c r="D640" s="11"/>
      <c r="E640" s="11"/>
      <c r="F640" s="10"/>
      <c r="G640" s="11"/>
      <c r="H640" s="11"/>
      <c r="I640" s="11"/>
      <c r="J640" s="12"/>
      <c r="K640" s="11"/>
      <c r="L640" s="12"/>
      <c r="M640" s="12"/>
      <c r="N640" s="10"/>
      <c r="O640" s="11"/>
      <c r="P640" s="11"/>
      <c r="Q640" s="11"/>
      <c r="R640" s="11"/>
    </row>
    <row r="641" spans="1:18" x14ac:dyDescent="0.3">
      <c r="A641" s="8"/>
      <c r="B641" s="10"/>
      <c r="D641" s="11"/>
      <c r="E641" s="11"/>
      <c r="F641" s="10"/>
      <c r="G641" s="11"/>
      <c r="H641" s="11"/>
      <c r="I641" s="11"/>
      <c r="J641" s="12"/>
      <c r="K641" s="11"/>
      <c r="L641" s="10"/>
      <c r="M641" s="10"/>
      <c r="N641" s="11"/>
      <c r="O641" s="11"/>
      <c r="P641" s="11"/>
      <c r="Q641" s="11"/>
      <c r="R641" s="10"/>
    </row>
    <row r="642" spans="1:18" x14ac:dyDescent="0.3">
      <c r="A642" s="8"/>
      <c r="B642" s="10"/>
      <c r="D642" s="11"/>
      <c r="E642" s="11"/>
      <c r="F642" s="10"/>
      <c r="G642" s="11"/>
      <c r="H642" s="11"/>
      <c r="I642" s="11"/>
      <c r="J642" s="12"/>
      <c r="K642" s="11"/>
      <c r="L642" s="10"/>
      <c r="M642" s="10"/>
      <c r="N642" s="11"/>
      <c r="O642" s="11"/>
      <c r="P642" s="11"/>
      <c r="Q642" s="11"/>
      <c r="R642" s="10"/>
    </row>
    <row r="643" spans="1:18" x14ac:dyDescent="0.3">
      <c r="A643" s="8"/>
      <c r="B643" s="10"/>
      <c r="D643" s="10"/>
      <c r="E643" s="11"/>
      <c r="F643" s="10"/>
      <c r="G643" s="11"/>
      <c r="H643" s="11"/>
      <c r="I643" s="11"/>
      <c r="J643" s="12"/>
      <c r="K643" s="11"/>
      <c r="L643" s="10"/>
      <c r="M643" s="10"/>
      <c r="N643" s="11"/>
      <c r="O643" s="11"/>
      <c r="P643" s="11"/>
      <c r="Q643" s="11"/>
      <c r="R643" s="11"/>
    </row>
    <row r="644" spans="1:18" x14ac:dyDescent="0.3">
      <c r="A644" s="8"/>
      <c r="B644" s="10"/>
      <c r="D644" s="11"/>
      <c r="E644" s="11"/>
      <c r="F644" s="10"/>
      <c r="G644" s="11"/>
      <c r="H644" s="11"/>
      <c r="I644" s="11"/>
      <c r="J644" s="12"/>
      <c r="K644" s="11"/>
      <c r="L644" s="12"/>
      <c r="M644" s="12"/>
      <c r="N644" s="10"/>
      <c r="O644" s="11"/>
      <c r="P644" s="11"/>
      <c r="Q644" s="11"/>
      <c r="R644" s="10"/>
    </row>
    <row r="645" spans="1:18" x14ac:dyDescent="0.3">
      <c r="A645" s="8"/>
      <c r="B645" s="10"/>
      <c r="D645" s="10"/>
      <c r="E645" s="11"/>
      <c r="F645" s="10"/>
      <c r="G645" s="11"/>
      <c r="H645" s="11"/>
      <c r="I645" s="11"/>
      <c r="J645" s="12"/>
      <c r="K645" s="11"/>
      <c r="L645" s="10"/>
      <c r="M645" s="10"/>
      <c r="N645" s="11"/>
      <c r="O645" s="11"/>
      <c r="P645" s="11"/>
      <c r="Q645" s="11"/>
      <c r="R645" s="10"/>
    </row>
    <row r="646" spans="1:18" x14ac:dyDescent="0.3">
      <c r="A646" s="8"/>
      <c r="B646" s="10"/>
      <c r="D646" s="11"/>
      <c r="E646" s="11"/>
      <c r="F646" s="10"/>
      <c r="G646" s="11"/>
      <c r="H646" s="11"/>
      <c r="I646" s="11"/>
      <c r="J646" s="12"/>
      <c r="K646" s="11"/>
      <c r="L646" s="12"/>
      <c r="M646" s="12"/>
      <c r="N646" s="10"/>
      <c r="O646" s="11"/>
      <c r="P646" s="11"/>
      <c r="Q646" s="11"/>
      <c r="R646" s="10"/>
    </row>
    <row r="647" spans="1:18" x14ac:dyDescent="0.3">
      <c r="A647" s="8"/>
      <c r="B647" s="10"/>
      <c r="D647" s="10"/>
      <c r="E647" s="11"/>
      <c r="F647" s="10"/>
      <c r="G647" s="11"/>
      <c r="H647" s="11"/>
      <c r="I647" s="11"/>
      <c r="J647" s="12"/>
      <c r="K647" s="11"/>
      <c r="L647" s="10"/>
      <c r="M647" s="10"/>
      <c r="N647" s="11"/>
      <c r="O647" s="11"/>
      <c r="P647" s="11"/>
      <c r="Q647" s="11"/>
      <c r="R647" s="11"/>
    </row>
    <row r="648" spans="1:18" x14ac:dyDescent="0.3">
      <c r="A648" s="8"/>
      <c r="B648" s="10"/>
      <c r="D648" s="11"/>
      <c r="E648" s="11"/>
      <c r="F648" s="10"/>
      <c r="G648" s="11"/>
      <c r="H648" s="11"/>
      <c r="I648" s="11"/>
      <c r="J648" s="12"/>
      <c r="K648" s="11"/>
      <c r="L648" s="12"/>
      <c r="M648" s="12"/>
      <c r="N648" s="10"/>
      <c r="O648" s="29"/>
      <c r="P648" s="11"/>
      <c r="Q648" s="11"/>
      <c r="R648" s="11"/>
    </row>
    <row r="649" spans="1:18" x14ac:dyDescent="0.3">
      <c r="A649" s="8"/>
      <c r="B649" s="10"/>
      <c r="D649" s="11"/>
      <c r="E649" s="11"/>
      <c r="F649" s="10"/>
      <c r="G649" s="11"/>
      <c r="H649" s="11"/>
      <c r="I649" s="11"/>
      <c r="J649" s="12"/>
      <c r="K649" s="11"/>
      <c r="L649" s="12"/>
      <c r="M649" s="12"/>
      <c r="N649" s="10"/>
      <c r="O649" s="10"/>
      <c r="P649" s="11"/>
      <c r="Q649" s="11"/>
      <c r="R649" s="10"/>
    </row>
    <row r="650" spans="1:18" x14ac:dyDescent="0.3">
      <c r="A650" s="8"/>
      <c r="B650" s="10"/>
      <c r="D650" s="11"/>
      <c r="E650" s="11"/>
      <c r="F650" s="10"/>
      <c r="G650" s="11"/>
      <c r="H650" s="11"/>
      <c r="I650" s="11"/>
      <c r="J650" s="12"/>
      <c r="K650" s="11"/>
      <c r="L650" s="10"/>
      <c r="M650" s="10"/>
      <c r="N650" s="11"/>
      <c r="O650" s="11"/>
      <c r="P650" s="11"/>
      <c r="Q650" s="11"/>
      <c r="R650" s="10"/>
    </row>
    <row r="651" spans="1:18" x14ac:dyDescent="0.3">
      <c r="A651" s="8"/>
      <c r="B651" s="10"/>
      <c r="D651" s="11"/>
      <c r="E651" s="11"/>
      <c r="F651" s="10"/>
      <c r="G651" s="11"/>
      <c r="H651" s="11"/>
      <c r="I651" s="11"/>
      <c r="J651" s="12"/>
      <c r="K651" s="11"/>
      <c r="L651" s="10"/>
      <c r="M651" s="10"/>
      <c r="N651" s="11"/>
      <c r="O651" s="11"/>
      <c r="P651" s="11"/>
      <c r="Q651" s="11"/>
      <c r="R651" s="10"/>
    </row>
    <row r="652" spans="1:18" x14ac:dyDescent="0.3">
      <c r="A652" s="8"/>
      <c r="B652" s="10"/>
      <c r="D652" s="11"/>
      <c r="E652" s="11"/>
      <c r="F652" s="10"/>
      <c r="G652" s="11"/>
      <c r="H652" s="11"/>
      <c r="I652" s="11"/>
      <c r="J652" s="12"/>
      <c r="K652" s="11"/>
      <c r="L652" s="10"/>
      <c r="M652" s="10"/>
      <c r="N652" s="11"/>
      <c r="O652" s="11"/>
      <c r="P652" s="11"/>
      <c r="Q652" s="11"/>
      <c r="R652" s="10"/>
    </row>
    <row r="653" spans="1:18" x14ac:dyDescent="0.3">
      <c r="A653" s="8"/>
      <c r="B653" s="10"/>
      <c r="D653" s="11"/>
      <c r="E653" s="11"/>
      <c r="F653" s="10"/>
      <c r="G653" s="11"/>
      <c r="H653" s="11"/>
      <c r="I653" s="11"/>
      <c r="J653" s="12"/>
      <c r="K653" s="11"/>
      <c r="L653" s="10"/>
      <c r="M653" s="10"/>
      <c r="N653" s="11"/>
      <c r="O653" s="11"/>
      <c r="P653" s="11"/>
      <c r="Q653" s="11"/>
      <c r="R653" s="10"/>
    </row>
    <row r="654" spans="1:18" x14ac:dyDescent="0.3">
      <c r="A654" s="8"/>
      <c r="B654" s="10"/>
      <c r="D654" s="11"/>
      <c r="E654" s="11"/>
      <c r="F654" s="10"/>
      <c r="G654" s="11"/>
      <c r="H654" s="11"/>
      <c r="I654" s="11"/>
      <c r="J654" s="12"/>
      <c r="K654" s="11"/>
      <c r="L654" s="10"/>
      <c r="M654" s="10"/>
      <c r="N654" s="11"/>
      <c r="O654" s="11"/>
      <c r="P654" s="11"/>
      <c r="Q654" s="11"/>
      <c r="R654" s="10"/>
    </row>
    <row r="655" spans="1:18" x14ac:dyDescent="0.3">
      <c r="A655" s="8"/>
      <c r="B655" s="10"/>
      <c r="D655" s="11"/>
      <c r="E655" s="11"/>
      <c r="F655" s="10"/>
      <c r="G655" s="11"/>
      <c r="H655" s="11"/>
      <c r="I655" s="11"/>
      <c r="J655" s="12"/>
      <c r="K655" s="11"/>
      <c r="L655" s="10"/>
      <c r="M655" s="10"/>
      <c r="N655" s="11"/>
      <c r="O655" s="11"/>
      <c r="P655" s="11"/>
      <c r="Q655" s="11"/>
      <c r="R655" s="10"/>
    </row>
    <row r="656" spans="1:18" x14ac:dyDescent="0.3">
      <c r="A656" s="8"/>
      <c r="B656" s="10"/>
      <c r="D656" s="11"/>
      <c r="E656" s="11"/>
      <c r="F656" s="10"/>
      <c r="G656" s="11"/>
      <c r="H656" s="11"/>
      <c r="I656" s="11"/>
      <c r="J656" s="12"/>
      <c r="K656" s="11"/>
      <c r="L656" s="10"/>
      <c r="M656" s="10"/>
      <c r="N656" s="11"/>
      <c r="O656" s="11"/>
      <c r="P656" s="11"/>
      <c r="Q656" s="11"/>
      <c r="R656" s="10"/>
    </row>
    <row r="657" spans="1:18" x14ac:dyDescent="0.3">
      <c r="A657" s="8"/>
      <c r="B657" s="10"/>
      <c r="D657" s="11"/>
      <c r="E657" s="11"/>
      <c r="F657" s="10"/>
      <c r="G657" s="11"/>
      <c r="H657" s="11"/>
      <c r="I657" s="11"/>
      <c r="J657" s="12"/>
      <c r="K657" s="11"/>
      <c r="L657" s="12"/>
      <c r="M657" s="12"/>
      <c r="N657" s="10"/>
      <c r="O657" s="11"/>
      <c r="P657" s="11"/>
      <c r="Q657" s="11"/>
      <c r="R657" s="10"/>
    </row>
    <row r="658" spans="1:18" x14ac:dyDescent="0.3">
      <c r="A658" s="8"/>
      <c r="B658" s="10"/>
      <c r="D658" s="11"/>
      <c r="E658" s="11"/>
      <c r="F658" s="10"/>
      <c r="G658" s="11"/>
      <c r="H658" s="11"/>
      <c r="I658" s="11"/>
      <c r="J658" s="12"/>
      <c r="K658" s="11"/>
      <c r="L658" s="12"/>
      <c r="M658" s="12"/>
      <c r="N658" s="10"/>
      <c r="O658" s="11"/>
      <c r="P658" s="11"/>
      <c r="Q658" s="11"/>
      <c r="R658" s="10"/>
    </row>
    <row r="659" spans="1:18" x14ac:dyDescent="0.3">
      <c r="A659" s="8"/>
      <c r="B659" s="10"/>
      <c r="D659" s="11"/>
      <c r="E659" s="11"/>
      <c r="F659" s="10"/>
      <c r="G659" s="11"/>
      <c r="H659" s="11"/>
      <c r="I659" s="11"/>
      <c r="J659" s="12"/>
      <c r="K659" s="11"/>
      <c r="L659" s="10"/>
      <c r="M659" s="10"/>
      <c r="N659" s="11"/>
      <c r="O659" s="11"/>
      <c r="P659" s="11"/>
      <c r="Q659" s="11"/>
      <c r="R659" s="10"/>
    </row>
    <row r="660" spans="1:18" x14ac:dyDescent="0.3">
      <c r="A660" s="8"/>
      <c r="B660" s="10"/>
      <c r="D660" s="11"/>
      <c r="E660" s="11"/>
      <c r="F660" s="10"/>
      <c r="G660" s="11"/>
      <c r="H660" s="11"/>
      <c r="I660" s="11"/>
      <c r="J660" s="12"/>
      <c r="K660" s="11"/>
      <c r="L660" s="10"/>
      <c r="M660" s="10"/>
      <c r="N660" s="11"/>
      <c r="O660" s="11"/>
      <c r="P660" s="11"/>
      <c r="Q660" s="11"/>
      <c r="R660" s="10"/>
    </row>
    <row r="661" spans="1:18" x14ac:dyDescent="0.3">
      <c r="A661" s="8"/>
      <c r="B661" s="10"/>
      <c r="D661" s="11"/>
      <c r="E661" s="11"/>
      <c r="F661" s="10"/>
      <c r="G661" s="11"/>
      <c r="H661" s="11"/>
      <c r="I661" s="11"/>
      <c r="J661" s="12"/>
      <c r="K661" s="11"/>
      <c r="L661" s="10"/>
      <c r="M661" s="10"/>
      <c r="N661" s="11"/>
      <c r="O661" s="11"/>
      <c r="P661" s="11"/>
      <c r="Q661" s="11"/>
      <c r="R661" s="10"/>
    </row>
    <row r="662" spans="1:18" x14ac:dyDescent="0.3">
      <c r="A662" s="8"/>
      <c r="B662" s="10"/>
      <c r="D662" s="11"/>
      <c r="E662" s="11"/>
      <c r="F662" s="10"/>
      <c r="G662" s="11"/>
      <c r="H662" s="11"/>
      <c r="I662" s="11"/>
      <c r="J662" s="12"/>
      <c r="K662" s="11"/>
      <c r="L662" s="10"/>
      <c r="M662" s="10"/>
      <c r="N662" s="11"/>
      <c r="O662" s="11"/>
      <c r="P662" s="11"/>
      <c r="Q662" s="11"/>
      <c r="R662" s="10"/>
    </row>
    <row r="663" spans="1:18" x14ac:dyDescent="0.3">
      <c r="A663" s="8"/>
      <c r="B663" s="10"/>
      <c r="D663" s="11"/>
      <c r="E663" s="11"/>
      <c r="F663" s="10"/>
      <c r="G663" s="11"/>
      <c r="H663" s="11"/>
      <c r="I663" s="11"/>
      <c r="J663" s="12"/>
      <c r="K663" s="11"/>
      <c r="L663" s="12"/>
      <c r="M663" s="12"/>
      <c r="N663" s="10"/>
      <c r="O663" s="11"/>
      <c r="P663" s="11"/>
      <c r="Q663" s="11"/>
      <c r="R663" s="10"/>
    </row>
    <row r="664" spans="1:18" x14ac:dyDescent="0.3">
      <c r="A664" s="8"/>
      <c r="B664" s="10"/>
      <c r="D664" s="11"/>
      <c r="E664" s="11"/>
      <c r="F664" s="10"/>
      <c r="G664" s="11"/>
      <c r="H664" s="11"/>
      <c r="I664" s="11"/>
      <c r="J664" s="12"/>
      <c r="K664" s="11"/>
      <c r="L664" s="10"/>
      <c r="M664" s="10"/>
      <c r="N664" s="11"/>
      <c r="O664" s="11"/>
      <c r="P664" s="11"/>
      <c r="Q664" s="11"/>
      <c r="R664" s="10"/>
    </row>
    <row r="665" spans="1:18" x14ac:dyDescent="0.3">
      <c r="A665" s="8"/>
      <c r="B665" s="10"/>
      <c r="D665" s="11"/>
      <c r="E665" s="11"/>
      <c r="F665" s="10"/>
      <c r="G665" s="11"/>
      <c r="H665" s="11"/>
      <c r="I665" s="11"/>
      <c r="J665" s="12"/>
      <c r="K665" s="11"/>
      <c r="L665" s="10"/>
      <c r="M665" s="10"/>
      <c r="N665" s="11"/>
      <c r="O665" s="11"/>
      <c r="P665" s="11"/>
      <c r="Q665" s="11"/>
      <c r="R665" s="10"/>
    </row>
    <row r="666" spans="1:18" x14ac:dyDescent="0.3">
      <c r="A666" s="8"/>
      <c r="B666" s="10"/>
      <c r="D666" s="11"/>
      <c r="E666" s="11"/>
      <c r="F666" s="10"/>
      <c r="G666" s="11"/>
      <c r="H666" s="11"/>
      <c r="I666" s="11"/>
      <c r="J666" s="12"/>
      <c r="K666" s="11"/>
      <c r="L666" s="10"/>
      <c r="M666" s="10"/>
      <c r="N666" s="11"/>
      <c r="O666" s="11"/>
      <c r="P666" s="11"/>
      <c r="Q666" s="11"/>
      <c r="R666" s="10"/>
    </row>
    <row r="667" spans="1:18" x14ac:dyDescent="0.3">
      <c r="A667" s="8"/>
      <c r="B667" s="10"/>
      <c r="D667" s="11"/>
      <c r="E667" s="11"/>
      <c r="F667" s="10"/>
      <c r="G667" s="11"/>
      <c r="H667" s="11"/>
      <c r="I667" s="11"/>
      <c r="J667" s="12"/>
      <c r="K667" s="11"/>
      <c r="L667" s="10"/>
      <c r="M667" s="10"/>
      <c r="N667" s="11"/>
      <c r="O667" s="11"/>
      <c r="P667" s="11"/>
      <c r="Q667" s="11"/>
      <c r="R667" s="10"/>
    </row>
    <row r="668" spans="1:18" x14ac:dyDescent="0.3">
      <c r="A668" s="8"/>
      <c r="B668" s="10"/>
      <c r="D668" s="11"/>
      <c r="E668" s="11"/>
      <c r="F668" s="10"/>
      <c r="G668" s="11"/>
      <c r="H668" s="11"/>
      <c r="I668" s="11"/>
      <c r="J668" s="12"/>
      <c r="K668" s="11"/>
      <c r="L668" s="10"/>
      <c r="M668" s="10"/>
      <c r="N668" s="11"/>
      <c r="O668" s="11"/>
      <c r="P668" s="11"/>
      <c r="Q668" s="11"/>
      <c r="R668" s="10"/>
    </row>
    <row r="669" spans="1:18" x14ac:dyDescent="0.3">
      <c r="A669" s="8"/>
      <c r="B669" s="10"/>
      <c r="D669" s="10"/>
      <c r="E669" s="11"/>
      <c r="F669" s="10"/>
      <c r="G669" s="11"/>
      <c r="H669" s="11"/>
      <c r="I669" s="11"/>
      <c r="J669" s="12"/>
      <c r="K669" s="11"/>
      <c r="L669" s="10"/>
      <c r="M669" s="10"/>
      <c r="N669" s="11"/>
      <c r="O669" s="11"/>
      <c r="P669" s="11"/>
      <c r="Q669" s="11"/>
      <c r="R669" s="10"/>
    </row>
    <row r="670" spans="1:18" x14ac:dyDescent="0.3">
      <c r="A670" s="8"/>
      <c r="B670" s="10"/>
      <c r="D670" s="11"/>
      <c r="E670" s="11"/>
      <c r="F670" s="10"/>
      <c r="G670" s="11"/>
      <c r="H670" s="11"/>
      <c r="I670" s="11"/>
      <c r="J670" s="12"/>
      <c r="K670" s="11"/>
      <c r="L670" s="10"/>
      <c r="M670" s="10"/>
      <c r="N670" s="11"/>
      <c r="O670" s="11"/>
      <c r="P670" s="11"/>
      <c r="Q670" s="11"/>
      <c r="R670" s="10"/>
    </row>
    <row r="671" spans="1:18" x14ac:dyDescent="0.3">
      <c r="A671" s="8"/>
      <c r="B671" s="10"/>
      <c r="D671" s="11"/>
      <c r="E671" s="11"/>
      <c r="F671" s="10"/>
      <c r="G671" s="11"/>
      <c r="H671" s="11"/>
      <c r="I671" s="11"/>
      <c r="J671" s="12"/>
      <c r="K671" s="11"/>
      <c r="L671" s="10"/>
      <c r="M671" s="10"/>
      <c r="N671" s="11"/>
      <c r="O671" s="11"/>
      <c r="P671" s="11"/>
      <c r="Q671" s="11"/>
      <c r="R671" s="10"/>
    </row>
    <row r="672" spans="1:18" x14ac:dyDescent="0.3">
      <c r="A672" s="8"/>
      <c r="B672" s="10"/>
      <c r="D672" s="11"/>
      <c r="E672" s="11"/>
      <c r="F672" s="10"/>
      <c r="G672" s="11"/>
      <c r="H672" s="11"/>
      <c r="I672" s="11"/>
      <c r="J672" s="12"/>
      <c r="K672" s="11"/>
      <c r="L672" s="10"/>
      <c r="M672" s="10"/>
      <c r="N672" s="11"/>
      <c r="O672" s="11"/>
      <c r="P672" s="11"/>
      <c r="Q672" s="11"/>
      <c r="R672" s="10"/>
    </row>
    <row r="673" spans="1:18" x14ac:dyDescent="0.3">
      <c r="A673" s="8"/>
      <c r="B673" s="10"/>
      <c r="D673" s="11"/>
      <c r="E673" s="11"/>
      <c r="F673" s="10"/>
      <c r="G673" s="11"/>
      <c r="H673" s="11"/>
      <c r="I673" s="11"/>
      <c r="J673" s="12"/>
      <c r="K673" s="11"/>
      <c r="L673" s="10"/>
      <c r="M673" s="10"/>
      <c r="N673" s="11"/>
      <c r="O673" s="11"/>
      <c r="P673" s="11"/>
      <c r="Q673" s="11"/>
      <c r="R673" s="10"/>
    </row>
    <row r="674" spans="1:18" x14ac:dyDescent="0.3">
      <c r="A674" s="8"/>
      <c r="B674" s="10"/>
      <c r="D674" s="11"/>
      <c r="E674" s="11"/>
      <c r="F674" s="10"/>
      <c r="G674" s="11"/>
      <c r="H674" s="11"/>
      <c r="I674" s="11"/>
      <c r="J674" s="12"/>
      <c r="K674" s="11"/>
      <c r="L674" s="12"/>
      <c r="M674" s="12"/>
      <c r="N674" s="10"/>
      <c r="O674" s="11"/>
      <c r="P674" s="11"/>
      <c r="Q674" s="11"/>
      <c r="R674" s="10"/>
    </row>
    <row r="675" spans="1:18" x14ac:dyDescent="0.3">
      <c r="A675" s="8"/>
      <c r="B675" s="10"/>
      <c r="D675" s="11"/>
      <c r="E675" s="11"/>
      <c r="F675" s="10"/>
      <c r="G675" s="11"/>
      <c r="H675" s="11"/>
      <c r="I675" s="11"/>
      <c r="J675" s="12"/>
      <c r="K675" s="11"/>
      <c r="L675" s="10"/>
      <c r="M675" s="10"/>
      <c r="N675" s="11"/>
      <c r="O675" s="11"/>
      <c r="P675" s="11"/>
      <c r="Q675" s="11"/>
      <c r="R675" s="10"/>
    </row>
    <row r="676" spans="1:18" x14ac:dyDescent="0.3">
      <c r="A676" s="8"/>
      <c r="B676" s="10"/>
      <c r="D676" s="11"/>
      <c r="E676" s="11"/>
      <c r="F676" s="10"/>
      <c r="G676" s="11"/>
      <c r="H676" s="11"/>
      <c r="I676" s="11"/>
      <c r="J676" s="12"/>
      <c r="K676" s="11"/>
      <c r="L676" s="12"/>
      <c r="M676" s="12"/>
      <c r="N676" s="10"/>
      <c r="O676" s="11"/>
      <c r="P676" s="11"/>
      <c r="Q676" s="11"/>
      <c r="R676" s="11"/>
    </row>
    <row r="677" spans="1:18" x14ac:dyDescent="0.3">
      <c r="A677" s="8"/>
      <c r="B677" s="10"/>
      <c r="D677" s="11"/>
      <c r="E677" s="11"/>
      <c r="F677" s="10"/>
      <c r="G677" s="11"/>
      <c r="H677" s="11"/>
      <c r="I677" s="10"/>
      <c r="J677" s="12"/>
      <c r="K677" s="11"/>
      <c r="L677" s="12"/>
      <c r="M677" s="12"/>
      <c r="N677" s="10"/>
      <c r="O677" s="11"/>
      <c r="P677" s="11"/>
      <c r="Q677" s="11"/>
      <c r="R677" s="11"/>
    </row>
    <row r="678" spans="1:18" x14ac:dyDescent="0.3">
      <c r="A678" s="8"/>
      <c r="B678" s="10"/>
      <c r="D678" s="11"/>
      <c r="E678" s="11"/>
      <c r="F678" s="10"/>
      <c r="G678" s="11"/>
      <c r="H678" s="11"/>
      <c r="I678" s="11"/>
      <c r="J678" s="12"/>
      <c r="K678" s="11"/>
      <c r="L678" s="12"/>
      <c r="M678" s="12"/>
      <c r="N678" s="10"/>
      <c r="O678" s="11"/>
      <c r="P678" s="11"/>
      <c r="Q678" s="11"/>
      <c r="R678" s="11"/>
    </row>
    <row r="679" spans="1:18" x14ac:dyDescent="0.3">
      <c r="A679" s="8"/>
      <c r="B679" s="10"/>
      <c r="D679" s="11"/>
      <c r="E679" s="11"/>
      <c r="F679" s="10"/>
      <c r="H679" s="11"/>
      <c r="I679" s="11"/>
      <c r="J679" s="12"/>
      <c r="K679" s="11"/>
      <c r="L679" s="12"/>
      <c r="M679" s="12"/>
      <c r="N679" s="10"/>
      <c r="O679" s="11"/>
      <c r="P679" s="11"/>
      <c r="Q679" s="11"/>
      <c r="R679" s="11"/>
    </row>
    <row r="680" spans="1:18" x14ac:dyDescent="0.3">
      <c r="A680" s="8"/>
      <c r="B680" s="10"/>
      <c r="D680" s="11"/>
      <c r="E680" s="11"/>
      <c r="F680" s="10"/>
      <c r="G680" s="11"/>
      <c r="H680" s="11"/>
      <c r="I680" s="11"/>
      <c r="J680" s="12"/>
      <c r="K680" s="11"/>
      <c r="L680" s="10"/>
      <c r="M680" s="10"/>
      <c r="N680" s="11"/>
      <c r="O680" s="11"/>
      <c r="P680" s="11"/>
      <c r="Q680" s="11"/>
      <c r="R680" s="11"/>
    </row>
    <row r="681" spans="1:18" x14ac:dyDescent="0.3">
      <c r="A681" s="8"/>
      <c r="B681" s="10"/>
      <c r="D681" s="11"/>
      <c r="E681" s="11"/>
      <c r="F681" s="10"/>
      <c r="G681" s="11"/>
      <c r="H681" s="11"/>
      <c r="I681" s="11"/>
      <c r="J681" s="12"/>
      <c r="K681" s="11"/>
      <c r="L681" s="12"/>
      <c r="M681" s="12"/>
      <c r="N681" s="10"/>
      <c r="O681" s="11"/>
      <c r="P681" s="11"/>
      <c r="Q681" s="11"/>
      <c r="R681" s="11"/>
    </row>
    <row r="682" spans="1:18" x14ac:dyDescent="0.3">
      <c r="A682" s="8"/>
      <c r="B682" s="10"/>
      <c r="D682" s="11"/>
      <c r="E682" s="11"/>
      <c r="F682" s="10"/>
      <c r="G682" s="11"/>
      <c r="H682" s="11"/>
      <c r="I682" s="11"/>
      <c r="J682" s="12"/>
      <c r="K682" s="11"/>
      <c r="L682" s="10"/>
      <c r="M682" s="10"/>
      <c r="N682" s="11"/>
      <c r="O682" s="11"/>
      <c r="P682" s="11"/>
      <c r="Q682" s="11"/>
      <c r="R682" s="10"/>
    </row>
    <row r="683" spans="1:18" x14ac:dyDescent="0.3">
      <c r="A683" s="8"/>
      <c r="B683" s="10"/>
      <c r="D683" s="11"/>
      <c r="E683" s="11"/>
      <c r="F683" s="10"/>
      <c r="G683" s="11"/>
      <c r="H683" s="11"/>
      <c r="I683" s="11"/>
      <c r="J683" s="12"/>
      <c r="K683" s="11"/>
      <c r="L683" s="12"/>
      <c r="M683" s="12"/>
      <c r="N683" s="10"/>
      <c r="O683" s="11"/>
      <c r="P683" s="11"/>
      <c r="Q683" s="11"/>
      <c r="R683" s="10"/>
    </row>
    <row r="684" spans="1:18" x14ac:dyDescent="0.3">
      <c r="A684" s="8"/>
      <c r="B684" s="10"/>
      <c r="D684" s="11"/>
      <c r="E684" s="11"/>
      <c r="F684" s="10"/>
      <c r="G684" s="11"/>
      <c r="H684" s="11"/>
      <c r="I684" s="11"/>
      <c r="J684" s="12"/>
      <c r="K684" s="11"/>
      <c r="L684" s="12"/>
      <c r="M684" s="12"/>
      <c r="N684" s="10"/>
      <c r="O684" s="11"/>
      <c r="P684" s="11"/>
      <c r="Q684" s="11"/>
      <c r="R684" s="10"/>
    </row>
    <row r="685" spans="1:18" x14ac:dyDescent="0.3">
      <c r="A685" s="8"/>
      <c r="B685" s="10"/>
      <c r="D685" s="11"/>
      <c r="E685" s="11"/>
      <c r="F685" s="10"/>
      <c r="G685" s="11"/>
      <c r="H685" s="11"/>
      <c r="I685" s="11"/>
      <c r="J685" s="12"/>
      <c r="K685" s="11"/>
      <c r="L685" s="12"/>
      <c r="M685" s="12"/>
      <c r="N685" s="10"/>
      <c r="O685" s="11"/>
      <c r="P685" s="11"/>
      <c r="Q685" s="11"/>
      <c r="R685" s="10"/>
    </row>
    <row r="686" spans="1:18" x14ac:dyDescent="0.3">
      <c r="A686" s="8"/>
      <c r="B686" s="10"/>
      <c r="D686" s="11"/>
      <c r="E686" s="11"/>
      <c r="F686" s="10"/>
      <c r="G686" s="11"/>
      <c r="H686" s="11"/>
      <c r="I686" s="11"/>
      <c r="J686" s="12"/>
      <c r="K686" s="11"/>
      <c r="L686" s="12"/>
      <c r="M686" s="12"/>
      <c r="N686" s="10"/>
      <c r="O686" s="11"/>
      <c r="P686" s="11"/>
      <c r="Q686" s="11"/>
      <c r="R686" s="10"/>
    </row>
    <row r="687" spans="1:18" x14ac:dyDescent="0.3">
      <c r="A687" s="8"/>
      <c r="B687" s="10"/>
      <c r="D687" s="10"/>
      <c r="E687" s="11"/>
      <c r="F687" s="10"/>
      <c r="G687" s="11"/>
      <c r="H687" s="11"/>
      <c r="I687" s="11"/>
      <c r="J687" s="12"/>
      <c r="K687" s="11"/>
      <c r="L687" s="10"/>
      <c r="M687" s="10"/>
      <c r="N687" s="11"/>
      <c r="O687" s="11"/>
      <c r="P687" s="11"/>
      <c r="Q687" s="11"/>
      <c r="R687" s="11"/>
    </row>
    <row r="688" spans="1:18" x14ac:dyDescent="0.3">
      <c r="A688" s="8"/>
      <c r="B688" s="10"/>
      <c r="D688" s="10"/>
      <c r="E688" s="11"/>
      <c r="F688" s="10"/>
      <c r="G688" s="11"/>
      <c r="H688" s="11"/>
      <c r="I688" s="11"/>
      <c r="J688" s="12"/>
      <c r="K688" s="11"/>
      <c r="L688" s="10"/>
      <c r="M688" s="10"/>
      <c r="N688" s="11"/>
      <c r="O688" s="11"/>
      <c r="P688" s="11"/>
      <c r="Q688" s="11"/>
      <c r="R688" s="11"/>
    </row>
    <row r="689" spans="1:18" x14ac:dyDescent="0.3">
      <c r="A689" s="8"/>
      <c r="B689" s="10"/>
      <c r="D689" s="10"/>
      <c r="E689" s="11"/>
      <c r="F689" s="10"/>
      <c r="G689" s="11"/>
      <c r="H689" s="11"/>
      <c r="I689" s="11"/>
      <c r="J689" s="12"/>
      <c r="K689" s="11"/>
      <c r="L689" s="12"/>
      <c r="M689" s="12"/>
      <c r="N689" s="10"/>
      <c r="O689" s="11"/>
      <c r="P689" s="11"/>
      <c r="Q689" s="11"/>
      <c r="R689" s="11"/>
    </row>
    <row r="690" spans="1:18" x14ac:dyDescent="0.3">
      <c r="A690" s="8"/>
      <c r="B690" s="10"/>
      <c r="D690" s="10"/>
      <c r="E690" s="11"/>
      <c r="F690" s="10"/>
      <c r="G690" s="11"/>
      <c r="H690" s="11"/>
      <c r="I690" s="11"/>
      <c r="J690" s="12"/>
      <c r="K690" s="11"/>
      <c r="L690" s="10"/>
      <c r="M690" s="10"/>
      <c r="N690" s="11"/>
      <c r="O690" s="11"/>
      <c r="P690" s="11"/>
      <c r="Q690" s="11"/>
      <c r="R690" s="11"/>
    </row>
    <row r="691" spans="1:18" x14ac:dyDescent="0.3">
      <c r="A691" s="8"/>
      <c r="B691" s="10"/>
      <c r="D691" s="11"/>
      <c r="E691" s="11"/>
      <c r="F691" s="10"/>
      <c r="G691" s="11"/>
      <c r="H691" s="11"/>
      <c r="I691" s="11"/>
      <c r="J691" s="12"/>
      <c r="K691" s="11"/>
      <c r="L691" s="12"/>
      <c r="M691" s="12"/>
      <c r="N691" s="10"/>
      <c r="O691" s="11"/>
      <c r="P691" s="11"/>
      <c r="Q691" s="11"/>
      <c r="R691" s="10"/>
    </row>
    <row r="692" spans="1:18" x14ac:dyDescent="0.3">
      <c r="A692" s="8"/>
      <c r="B692" s="10"/>
      <c r="D692" s="11"/>
      <c r="E692" s="11"/>
      <c r="F692" s="10"/>
      <c r="G692" s="11"/>
      <c r="H692" s="11"/>
      <c r="I692" s="11"/>
      <c r="J692" s="12"/>
      <c r="K692" s="11"/>
      <c r="L692" s="10"/>
      <c r="M692" s="10"/>
      <c r="N692" s="11"/>
      <c r="O692" s="11"/>
      <c r="P692" s="11"/>
      <c r="Q692" s="11"/>
      <c r="R692" s="10"/>
    </row>
    <row r="693" spans="1:18" x14ac:dyDescent="0.3">
      <c r="A693" s="8"/>
      <c r="B693" s="10"/>
      <c r="D693" s="11"/>
      <c r="E693" s="11"/>
      <c r="F693" s="10"/>
      <c r="G693" s="11"/>
      <c r="H693" s="11"/>
      <c r="I693" s="11"/>
      <c r="J693" s="12"/>
      <c r="K693" s="11"/>
      <c r="L693" s="10"/>
      <c r="M693" s="10"/>
      <c r="N693" s="11"/>
      <c r="O693" s="11"/>
      <c r="P693" s="11"/>
      <c r="Q693" s="11"/>
      <c r="R693" s="10"/>
    </row>
    <row r="694" spans="1:18" x14ac:dyDescent="0.3">
      <c r="A694" s="8"/>
      <c r="B694" s="10"/>
      <c r="D694" s="11"/>
      <c r="E694" s="11"/>
      <c r="F694" s="10"/>
      <c r="G694" s="11"/>
      <c r="H694" s="11"/>
      <c r="I694" s="11"/>
      <c r="J694" s="12"/>
      <c r="K694" s="11"/>
      <c r="L694" s="10"/>
      <c r="M694" s="10"/>
      <c r="N694" s="11"/>
      <c r="O694" s="11"/>
      <c r="P694" s="11"/>
      <c r="Q694" s="11"/>
      <c r="R694" s="10"/>
    </row>
    <row r="695" spans="1:18" x14ac:dyDescent="0.3">
      <c r="A695" s="8"/>
      <c r="B695" s="10"/>
      <c r="D695" s="10"/>
      <c r="E695" s="11"/>
      <c r="F695" s="10"/>
      <c r="G695" s="11"/>
      <c r="H695" s="11"/>
      <c r="I695" s="11"/>
      <c r="J695" s="12"/>
      <c r="K695" s="11"/>
      <c r="L695" s="10"/>
      <c r="M695" s="10"/>
      <c r="N695" s="11"/>
      <c r="O695" s="11"/>
      <c r="P695" s="11"/>
      <c r="Q695" s="11"/>
      <c r="R695" s="11"/>
    </row>
    <row r="696" spans="1:18" x14ac:dyDescent="0.3">
      <c r="A696" s="8"/>
      <c r="B696" s="10"/>
      <c r="D696" s="10"/>
      <c r="E696" s="11"/>
      <c r="F696" s="10"/>
      <c r="G696" s="11"/>
      <c r="H696" s="11"/>
      <c r="I696" s="11"/>
      <c r="J696" s="12"/>
      <c r="K696" s="11"/>
      <c r="L696" s="10"/>
      <c r="M696" s="10"/>
      <c r="N696" s="11"/>
      <c r="O696" s="11"/>
      <c r="P696" s="11"/>
      <c r="Q696" s="11"/>
      <c r="R696" s="11"/>
    </row>
    <row r="697" spans="1:18" x14ac:dyDescent="0.3">
      <c r="A697" s="8"/>
      <c r="B697" s="10"/>
      <c r="D697" s="11"/>
      <c r="E697" s="11"/>
      <c r="F697" s="10"/>
      <c r="G697" s="11"/>
      <c r="H697" s="11"/>
      <c r="I697" s="11"/>
      <c r="J697" s="12"/>
      <c r="K697" s="11"/>
      <c r="L697" s="12"/>
      <c r="M697" s="12"/>
      <c r="N697" s="10"/>
      <c r="O697" s="11"/>
      <c r="P697" s="11"/>
      <c r="Q697" s="11"/>
      <c r="R697" s="11"/>
    </row>
    <row r="698" spans="1:18" x14ac:dyDescent="0.3">
      <c r="A698" s="8"/>
      <c r="B698" s="10"/>
      <c r="D698" s="11"/>
      <c r="E698" s="11"/>
      <c r="F698" s="10"/>
      <c r="G698" s="11"/>
      <c r="H698" s="11"/>
      <c r="I698" s="11"/>
      <c r="J698" s="12"/>
      <c r="K698" s="11"/>
      <c r="L698" s="12"/>
      <c r="M698" s="12"/>
      <c r="N698" s="10"/>
      <c r="O698" s="11"/>
      <c r="P698" s="11"/>
      <c r="Q698" s="11"/>
      <c r="R698" s="11"/>
    </row>
    <row r="699" spans="1:18" x14ac:dyDescent="0.3">
      <c r="A699" s="8"/>
      <c r="B699" s="10"/>
      <c r="D699" s="11"/>
      <c r="E699" s="11"/>
      <c r="F699" s="10"/>
      <c r="G699" s="11"/>
      <c r="H699" s="11"/>
      <c r="I699" s="11"/>
      <c r="J699" s="12"/>
      <c r="K699" s="11"/>
      <c r="L699" s="10"/>
      <c r="M699" s="10"/>
      <c r="N699" s="11"/>
      <c r="O699" s="11"/>
      <c r="P699" s="11"/>
      <c r="Q699" s="11"/>
      <c r="R699" s="10"/>
    </row>
    <row r="700" spans="1:18" x14ac:dyDescent="0.3">
      <c r="A700" s="8"/>
      <c r="B700" s="10"/>
      <c r="D700" s="11"/>
      <c r="E700" s="11"/>
      <c r="F700" s="10"/>
      <c r="G700" s="11"/>
      <c r="H700" s="11"/>
      <c r="I700" s="11"/>
      <c r="J700" s="12"/>
      <c r="K700" s="11"/>
      <c r="L700" s="10"/>
      <c r="M700" s="10"/>
      <c r="N700" s="11"/>
      <c r="O700" s="11"/>
      <c r="P700" s="11"/>
      <c r="Q700" s="11"/>
      <c r="R700" s="10"/>
    </row>
    <row r="701" spans="1:18" x14ac:dyDescent="0.3">
      <c r="A701" s="8"/>
      <c r="B701" s="10"/>
      <c r="D701" s="11"/>
      <c r="E701" s="11"/>
      <c r="F701" s="10"/>
      <c r="G701" s="11"/>
      <c r="H701" s="11"/>
      <c r="I701" s="11"/>
      <c r="J701" s="12"/>
      <c r="K701" s="11"/>
      <c r="L701" s="10"/>
      <c r="M701" s="10"/>
      <c r="N701" s="11"/>
      <c r="O701" s="11"/>
      <c r="P701" s="11"/>
      <c r="Q701" s="11"/>
      <c r="R701" s="10"/>
    </row>
    <row r="702" spans="1:18" x14ac:dyDescent="0.3">
      <c r="A702" s="8"/>
      <c r="B702" s="10"/>
      <c r="D702" s="11"/>
      <c r="E702" s="11"/>
      <c r="F702" s="10"/>
      <c r="G702" s="11"/>
      <c r="H702" s="11"/>
      <c r="I702" s="11"/>
      <c r="J702" s="12"/>
      <c r="K702" s="11"/>
      <c r="L702" s="10"/>
      <c r="M702" s="10"/>
      <c r="N702" s="11"/>
      <c r="O702" s="11"/>
      <c r="P702" s="11"/>
      <c r="Q702" s="11"/>
      <c r="R702" s="10"/>
    </row>
    <row r="703" spans="1:18" x14ac:dyDescent="0.3">
      <c r="A703" s="8"/>
      <c r="B703" s="10"/>
      <c r="D703" s="11"/>
      <c r="E703" s="11"/>
      <c r="F703" s="10"/>
      <c r="G703" s="11"/>
      <c r="H703" s="11"/>
      <c r="I703" s="11"/>
      <c r="J703" s="12"/>
      <c r="K703" s="11"/>
      <c r="L703" s="10"/>
      <c r="M703" s="10"/>
      <c r="N703" s="11"/>
      <c r="O703" s="11"/>
      <c r="P703" s="11"/>
      <c r="Q703" s="11"/>
      <c r="R703" s="10"/>
    </row>
    <row r="704" spans="1:18" x14ac:dyDescent="0.3">
      <c r="A704" s="8"/>
      <c r="B704" s="10"/>
      <c r="D704" s="11"/>
      <c r="E704" s="11"/>
      <c r="F704" s="10"/>
      <c r="G704" s="11"/>
      <c r="H704" s="11"/>
      <c r="I704" s="11"/>
      <c r="J704" s="12"/>
      <c r="K704" s="11"/>
      <c r="L704" s="12"/>
      <c r="M704" s="12"/>
      <c r="N704" s="10"/>
      <c r="O704" s="11"/>
      <c r="P704" s="11"/>
      <c r="Q704" s="11"/>
      <c r="R704" s="10"/>
    </row>
    <row r="705" spans="1:18" x14ac:dyDescent="0.3">
      <c r="A705" s="8"/>
      <c r="B705" s="10"/>
      <c r="D705" s="11"/>
      <c r="E705" s="11"/>
      <c r="F705" s="10"/>
      <c r="G705" s="11"/>
      <c r="H705" s="11"/>
      <c r="I705" s="11"/>
      <c r="J705" s="12"/>
      <c r="K705" s="11"/>
      <c r="L705" s="12"/>
      <c r="M705" s="12"/>
      <c r="N705" s="10"/>
      <c r="O705" s="11"/>
      <c r="P705" s="11"/>
      <c r="Q705" s="11"/>
      <c r="R705" s="10"/>
    </row>
    <row r="706" spans="1:18" x14ac:dyDescent="0.3">
      <c r="A706" s="8"/>
      <c r="B706" s="10"/>
      <c r="D706" s="10"/>
      <c r="E706" s="11"/>
      <c r="F706" s="10"/>
      <c r="G706" s="11"/>
      <c r="H706" s="11"/>
      <c r="I706" s="11"/>
      <c r="J706" s="12"/>
      <c r="K706" s="11"/>
      <c r="L706" s="10"/>
      <c r="M706" s="10"/>
      <c r="N706" s="11"/>
      <c r="O706" s="11"/>
      <c r="P706" s="11"/>
      <c r="Q706" s="11"/>
      <c r="R706" s="11"/>
    </row>
    <row r="707" spans="1:18" x14ac:dyDescent="0.3">
      <c r="A707" s="8"/>
      <c r="B707" s="10"/>
      <c r="D707" s="11"/>
      <c r="E707" s="11"/>
      <c r="F707" s="10"/>
      <c r="G707" s="11"/>
      <c r="H707" s="11"/>
      <c r="I707" s="11"/>
      <c r="J707" s="12"/>
      <c r="K707" s="11"/>
      <c r="L707" s="10"/>
      <c r="M707" s="10"/>
      <c r="N707" s="11"/>
      <c r="O707" s="11"/>
      <c r="P707" s="11"/>
      <c r="Q707" s="11"/>
      <c r="R707" s="11"/>
    </row>
    <row r="708" spans="1:18" x14ac:dyDescent="0.3">
      <c r="A708" s="8"/>
      <c r="B708" s="10"/>
      <c r="D708" s="11"/>
      <c r="E708" s="11"/>
      <c r="F708" s="10"/>
      <c r="G708" s="11"/>
      <c r="H708" s="11"/>
      <c r="I708" s="11"/>
      <c r="J708" s="12"/>
      <c r="K708" s="11"/>
      <c r="L708" s="10"/>
      <c r="M708" s="10"/>
      <c r="N708" s="11"/>
      <c r="O708" s="11"/>
      <c r="P708" s="11"/>
      <c r="Q708" s="11"/>
      <c r="R708" s="10"/>
    </row>
    <row r="709" spans="1:18" x14ac:dyDescent="0.3">
      <c r="A709" s="8"/>
      <c r="B709" s="10"/>
      <c r="D709" s="11"/>
      <c r="E709" s="11"/>
      <c r="F709" s="10"/>
      <c r="G709" s="11"/>
      <c r="H709" s="11"/>
      <c r="I709" s="11"/>
      <c r="J709" s="12"/>
      <c r="K709" s="11"/>
      <c r="L709" s="10"/>
      <c r="M709" s="10"/>
      <c r="N709" s="11"/>
      <c r="O709" s="11"/>
      <c r="P709" s="11"/>
      <c r="Q709" s="11"/>
      <c r="R709" s="10"/>
    </row>
    <row r="710" spans="1:18" x14ac:dyDescent="0.3">
      <c r="A710" s="8"/>
      <c r="B710" s="10"/>
      <c r="D710" s="11"/>
      <c r="E710" s="11"/>
      <c r="F710" s="10"/>
      <c r="G710" s="11"/>
      <c r="H710" s="11"/>
      <c r="I710" s="11"/>
      <c r="J710" s="12"/>
      <c r="K710" s="11"/>
      <c r="L710" s="10"/>
      <c r="M710" s="10"/>
      <c r="N710" s="11"/>
      <c r="O710" s="11"/>
      <c r="P710" s="11"/>
      <c r="Q710" s="11"/>
      <c r="R710" s="10"/>
    </row>
    <row r="711" spans="1:18" x14ac:dyDescent="0.3">
      <c r="A711" s="8"/>
      <c r="B711" s="10"/>
      <c r="D711" s="11"/>
      <c r="E711" s="11"/>
      <c r="F711" s="10"/>
      <c r="G711" s="11"/>
      <c r="H711" s="11"/>
      <c r="I711" s="11"/>
      <c r="J711" s="12"/>
      <c r="K711" s="11"/>
      <c r="L711" s="12"/>
      <c r="M711" s="12"/>
      <c r="N711" s="10"/>
      <c r="O711" s="11"/>
      <c r="P711" s="11"/>
      <c r="Q711" s="11"/>
      <c r="R711" s="10"/>
    </row>
    <row r="712" spans="1:18" x14ac:dyDescent="0.3">
      <c r="A712" s="8"/>
      <c r="B712" s="10"/>
      <c r="D712" s="11"/>
      <c r="E712" s="11"/>
      <c r="F712" s="10"/>
      <c r="G712" s="11"/>
      <c r="H712" s="11"/>
      <c r="I712" s="11"/>
      <c r="J712" s="12"/>
      <c r="K712" s="11"/>
      <c r="L712" s="12"/>
      <c r="M712" s="12"/>
      <c r="N712" s="10"/>
      <c r="O712" s="11"/>
      <c r="P712" s="11"/>
      <c r="Q712" s="11"/>
      <c r="R712" s="10"/>
    </row>
    <row r="713" spans="1:18" x14ac:dyDescent="0.3">
      <c r="A713" s="8"/>
      <c r="B713" s="10"/>
      <c r="D713" s="11"/>
      <c r="E713" s="11"/>
      <c r="F713" s="10"/>
      <c r="G713" s="11"/>
      <c r="H713" s="11"/>
      <c r="I713" s="11"/>
      <c r="J713" s="12"/>
      <c r="K713" s="11"/>
      <c r="L713" s="12"/>
      <c r="M713" s="12"/>
      <c r="N713" s="10"/>
      <c r="O713" s="11"/>
      <c r="P713" s="11"/>
      <c r="Q713" s="11"/>
      <c r="R713" s="10"/>
    </row>
    <row r="714" spans="1:18" x14ac:dyDescent="0.3">
      <c r="A714" s="8"/>
      <c r="B714" s="10"/>
      <c r="D714" s="11"/>
      <c r="E714" s="11"/>
      <c r="F714" s="10"/>
      <c r="G714" s="11"/>
      <c r="H714" s="11"/>
      <c r="I714" s="11"/>
      <c r="J714" s="12"/>
      <c r="K714" s="11"/>
      <c r="L714" s="12"/>
      <c r="M714" s="12"/>
      <c r="N714" s="10"/>
      <c r="O714" s="11"/>
      <c r="P714" s="11"/>
      <c r="Q714" s="11"/>
      <c r="R714" s="10"/>
    </row>
    <row r="715" spans="1:18" x14ac:dyDescent="0.3">
      <c r="A715" s="8"/>
      <c r="B715" s="10"/>
      <c r="D715" s="11"/>
      <c r="E715" s="11"/>
      <c r="F715" s="10"/>
      <c r="G715" s="11"/>
      <c r="H715" s="11"/>
      <c r="I715" s="11"/>
      <c r="J715" s="12"/>
      <c r="K715" s="11"/>
      <c r="L715" s="12"/>
      <c r="M715" s="12"/>
      <c r="N715" s="10"/>
      <c r="O715" s="11"/>
      <c r="P715" s="11"/>
      <c r="Q715" s="11"/>
      <c r="R715" s="10"/>
    </row>
    <row r="716" spans="1:18" x14ac:dyDescent="0.3">
      <c r="A716" s="8"/>
      <c r="B716" s="10"/>
      <c r="D716" s="11"/>
      <c r="E716" s="11"/>
      <c r="F716" s="10"/>
      <c r="G716" s="11"/>
      <c r="H716" s="11"/>
      <c r="I716" s="11"/>
      <c r="J716" s="12"/>
      <c r="K716" s="11"/>
      <c r="L716" s="12"/>
      <c r="M716" s="12"/>
      <c r="N716" s="10"/>
      <c r="O716" s="11"/>
      <c r="P716" s="11"/>
      <c r="Q716" s="11"/>
      <c r="R716" s="10"/>
    </row>
    <row r="717" spans="1:18" x14ac:dyDescent="0.3">
      <c r="A717" s="8"/>
      <c r="B717" s="10"/>
      <c r="D717" s="11"/>
      <c r="E717" s="11"/>
      <c r="F717" s="10"/>
      <c r="G717" s="11"/>
      <c r="H717" s="11"/>
      <c r="I717" s="11"/>
      <c r="J717" s="12"/>
      <c r="K717" s="11"/>
      <c r="L717" s="10"/>
      <c r="M717" s="10"/>
      <c r="N717" s="11"/>
      <c r="O717" s="11"/>
      <c r="P717" s="11"/>
      <c r="Q717" s="11"/>
      <c r="R717" s="11"/>
    </row>
    <row r="718" spans="1:18" x14ac:dyDescent="0.3">
      <c r="A718" s="8"/>
      <c r="B718" s="10"/>
      <c r="D718" s="11"/>
      <c r="E718" s="11"/>
      <c r="F718" s="10"/>
      <c r="G718" s="11"/>
      <c r="H718" s="11"/>
      <c r="I718" s="11"/>
      <c r="J718" s="12"/>
      <c r="K718" s="11"/>
      <c r="L718" s="10"/>
      <c r="M718" s="10"/>
      <c r="N718" s="11"/>
      <c r="O718" s="11"/>
      <c r="P718" s="11"/>
      <c r="Q718" s="11"/>
      <c r="R718" s="10"/>
    </row>
    <row r="719" spans="1:18" x14ac:dyDescent="0.3">
      <c r="A719" s="8"/>
      <c r="B719" s="10"/>
      <c r="D719" s="11"/>
      <c r="E719" s="11"/>
      <c r="F719" s="10"/>
      <c r="G719" s="11"/>
      <c r="H719" s="11"/>
      <c r="I719" s="11"/>
      <c r="J719" s="12"/>
      <c r="K719" s="11"/>
      <c r="L719" s="10"/>
      <c r="M719" s="10"/>
      <c r="N719" s="11"/>
      <c r="O719" s="10"/>
      <c r="P719" s="11"/>
      <c r="Q719" s="11"/>
      <c r="R719" s="10"/>
    </row>
    <row r="720" spans="1:18" x14ac:dyDescent="0.3">
      <c r="A720" s="8"/>
      <c r="B720" s="10"/>
      <c r="D720" s="11"/>
      <c r="E720" s="11"/>
      <c r="F720" s="10"/>
      <c r="G720" s="11"/>
      <c r="H720" s="11"/>
      <c r="I720" s="11"/>
      <c r="J720" s="12"/>
      <c r="K720" s="11"/>
      <c r="L720" s="10"/>
      <c r="M720" s="10"/>
      <c r="N720" s="11"/>
      <c r="O720" s="11"/>
      <c r="P720" s="11"/>
      <c r="Q720" s="11"/>
      <c r="R720" s="10"/>
    </row>
    <row r="721" spans="1:18" x14ac:dyDescent="0.3">
      <c r="A721" s="8"/>
      <c r="B721" s="10"/>
      <c r="D721" s="11"/>
      <c r="E721" s="11"/>
      <c r="F721" s="10"/>
      <c r="G721" s="11"/>
      <c r="H721" s="11"/>
      <c r="I721" s="11"/>
      <c r="J721" s="12"/>
      <c r="K721" s="11"/>
      <c r="L721" s="10"/>
      <c r="M721" s="10"/>
      <c r="N721" s="11"/>
      <c r="O721" s="11"/>
      <c r="P721" s="11"/>
      <c r="Q721" s="11"/>
      <c r="R721" s="10"/>
    </row>
    <row r="722" spans="1:18" x14ac:dyDescent="0.3">
      <c r="A722" s="8"/>
      <c r="B722" s="10"/>
      <c r="D722" s="11"/>
      <c r="E722" s="11"/>
      <c r="F722" s="10"/>
      <c r="G722" s="11"/>
      <c r="H722" s="11"/>
      <c r="I722" s="11"/>
      <c r="J722" s="12"/>
      <c r="K722" s="11"/>
      <c r="L722" s="12"/>
      <c r="M722" s="12"/>
      <c r="N722" s="10"/>
      <c r="O722" s="11"/>
      <c r="P722" s="11"/>
      <c r="Q722" s="11"/>
      <c r="R722" s="10"/>
    </row>
    <row r="723" spans="1:18" x14ac:dyDescent="0.3">
      <c r="A723" s="8"/>
      <c r="B723" s="10"/>
      <c r="D723" s="11"/>
      <c r="E723" s="11"/>
      <c r="F723" s="10"/>
      <c r="G723" s="11"/>
      <c r="H723" s="11"/>
      <c r="I723" s="11"/>
      <c r="J723" s="12"/>
      <c r="K723" s="11"/>
      <c r="L723" s="12"/>
      <c r="M723" s="12"/>
      <c r="N723" s="10"/>
      <c r="O723" s="11"/>
      <c r="P723" s="11"/>
      <c r="Q723" s="11"/>
      <c r="R723" s="10"/>
    </row>
    <row r="724" spans="1:18" x14ac:dyDescent="0.3">
      <c r="A724" s="8"/>
      <c r="B724" s="10"/>
      <c r="D724" s="11"/>
      <c r="E724" s="11"/>
      <c r="F724" s="10"/>
      <c r="G724" s="11"/>
      <c r="H724" s="11"/>
      <c r="I724" s="11"/>
      <c r="J724" s="12"/>
      <c r="K724" s="11"/>
      <c r="L724" s="10"/>
      <c r="M724" s="10"/>
      <c r="N724" s="11"/>
      <c r="O724" s="11"/>
      <c r="P724" s="11"/>
      <c r="Q724" s="11"/>
      <c r="R724" s="10"/>
    </row>
    <row r="725" spans="1:18" x14ac:dyDescent="0.3">
      <c r="A725" s="8"/>
      <c r="B725" s="10"/>
      <c r="D725" s="11"/>
      <c r="E725" s="11"/>
      <c r="F725" s="10"/>
      <c r="G725" s="11"/>
      <c r="H725" s="11"/>
      <c r="I725" s="11"/>
      <c r="J725" s="12"/>
      <c r="K725" s="12"/>
      <c r="L725" s="10"/>
      <c r="M725" s="10"/>
      <c r="N725" s="12"/>
      <c r="O725" s="11"/>
      <c r="P725" s="11"/>
      <c r="Q725" s="12"/>
      <c r="R725" s="10"/>
    </row>
    <row r="726" spans="1:18" x14ac:dyDescent="0.3">
      <c r="A726" s="30"/>
      <c r="B726" s="10"/>
      <c r="D726" s="11"/>
      <c r="E726" s="11"/>
      <c r="F726" s="10"/>
      <c r="G726" s="11"/>
      <c r="H726" s="11"/>
      <c r="I726" s="11"/>
      <c r="J726" s="12"/>
      <c r="K726" s="12"/>
      <c r="L726" s="10"/>
      <c r="M726" s="10"/>
      <c r="N726" s="12"/>
      <c r="O726" s="11"/>
      <c r="P726" s="11"/>
      <c r="Q726" s="12"/>
      <c r="R726" s="11"/>
    </row>
    <row r="727" spans="1:18" x14ac:dyDescent="0.3">
      <c r="A727" s="30"/>
      <c r="B727" s="10"/>
      <c r="D727" s="11"/>
      <c r="E727" s="11"/>
      <c r="F727" s="10"/>
      <c r="G727" s="11"/>
      <c r="H727" s="11"/>
      <c r="I727" s="11"/>
      <c r="J727" s="12"/>
      <c r="K727" s="12"/>
      <c r="L727" s="10"/>
      <c r="M727" s="10"/>
      <c r="N727" s="12"/>
      <c r="O727" s="11"/>
      <c r="P727" s="11"/>
      <c r="Q727" s="12"/>
      <c r="R727" s="10"/>
    </row>
    <row r="728" spans="1:18" x14ac:dyDescent="0.3">
      <c r="A728" s="30"/>
      <c r="B728" s="10"/>
      <c r="D728" s="11"/>
      <c r="E728" s="11"/>
      <c r="F728" s="10"/>
      <c r="G728" s="11"/>
      <c r="H728" s="11"/>
      <c r="I728" s="11"/>
      <c r="J728" s="12"/>
      <c r="K728" s="12"/>
      <c r="L728" s="10"/>
      <c r="M728" s="10"/>
      <c r="N728" s="12"/>
      <c r="O728" s="11"/>
      <c r="P728" s="11"/>
      <c r="Q728" s="12"/>
      <c r="R728" s="10"/>
    </row>
    <row r="729" spans="1:18" x14ac:dyDescent="0.3">
      <c r="A729" s="30"/>
      <c r="B729" s="10"/>
      <c r="D729" s="11"/>
      <c r="E729" s="11"/>
      <c r="F729" s="10"/>
      <c r="G729" s="11"/>
      <c r="H729" s="11"/>
      <c r="I729" s="11"/>
      <c r="J729" s="12"/>
      <c r="K729" s="12"/>
      <c r="L729" s="10"/>
      <c r="M729" s="10"/>
      <c r="N729" s="12"/>
      <c r="O729" s="11"/>
      <c r="P729" s="11"/>
      <c r="Q729" s="12"/>
      <c r="R729" s="11"/>
    </row>
    <row r="730" spans="1:18" x14ac:dyDescent="0.3">
      <c r="A730" s="30"/>
      <c r="B730" s="10"/>
      <c r="D730" s="10"/>
      <c r="E730" s="10"/>
      <c r="F730" s="10"/>
      <c r="G730" s="10"/>
      <c r="H730" s="10"/>
      <c r="I730" s="10"/>
      <c r="J730" s="31"/>
      <c r="K730" s="31"/>
      <c r="L730" s="10"/>
      <c r="M730" s="10"/>
      <c r="N730" s="31"/>
      <c r="O730" s="31"/>
      <c r="P730" s="31"/>
      <c r="Q730" s="31"/>
      <c r="R730" s="10"/>
    </row>
    <row r="731" spans="1:18" x14ac:dyDescent="0.3">
      <c r="A731" s="30"/>
      <c r="B731" s="10"/>
      <c r="D731" s="10"/>
      <c r="E731" s="11"/>
      <c r="F731" s="10"/>
      <c r="G731" s="11"/>
      <c r="H731" s="11"/>
      <c r="I731" s="11"/>
      <c r="J731" s="12"/>
      <c r="K731" s="12"/>
      <c r="L731" s="12"/>
      <c r="M731" s="12"/>
      <c r="N731" s="10"/>
      <c r="O731" s="11"/>
      <c r="P731" s="11"/>
      <c r="Q731" s="12"/>
      <c r="R731" s="10"/>
    </row>
    <row r="732" spans="1:18" x14ac:dyDescent="0.3">
      <c r="A732" s="30"/>
      <c r="B732" s="10"/>
      <c r="D732" s="10"/>
      <c r="E732" s="11"/>
      <c r="F732" s="10"/>
      <c r="G732" s="11"/>
      <c r="H732" s="11"/>
      <c r="I732" s="11"/>
      <c r="J732" s="12"/>
      <c r="K732" s="12"/>
      <c r="L732" s="12"/>
      <c r="M732" s="12"/>
      <c r="N732" s="10"/>
      <c r="O732" s="11"/>
      <c r="P732" s="11"/>
      <c r="Q732" s="12"/>
      <c r="R732" s="10"/>
    </row>
    <row r="733" spans="1:18" x14ac:dyDescent="0.3">
      <c r="A733" s="30"/>
      <c r="B733" s="10"/>
      <c r="D733" s="10"/>
      <c r="E733" s="11"/>
      <c r="F733" s="10"/>
      <c r="G733" s="11"/>
      <c r="H733" s="11"/>
      <c r="I733" s="11"/>
      <c r="J733" s="12"/>
      <c r="K733" s="12"/>
      <c r="L733" s="10"/>
      <c r="M733" s="10"/>
      <c r="N733" s="12"/>
      <c r="O733" s="10"/>
      <c r="P733" s="11"/>
      <c r="Q733" s="12"/>
      <c r="R733" s="11"/>
    </row>
    <row r="734" spans="1:18" x14ac:dyDescent="0.3">
      <c r="A734" s="30"/>
      <c r="B734" s="10"/>
      <c r="D734" s="10"/>
      <c r="E734" s="11"/>
      <c r="F734" s="10"/>
      <c r="G734" s="11"/>
      <c r="H734" s="11"/>
      <c r="I734" s="11"/>
      <c r="J734" s="12"/>
      <c r="K734" s="12"/>
      <c r="L734" s="10"/>
      <c r="M734" s="10"/>
      <c r="N734" s="12"/>
      <c r="O734" s="11"/>
      <c r="P734" s="11"/>
      <c r="Q734" s="12"/>
      <c r="R734" s="10"/>
    </row>
    <row r="735" spans="1:18" x14ac:dyDescent="0.3">
      <c r="A735" s="30"/>
      <c r="B735" s="10"/>
      <c r="D735" s="10"/>
      <c r="E735" s="11"/>
      <c r="F735" s="10"/>
      <c r="G735" s="11"/>
      <c r="H735" s="11"/>
      <c r="I735" s="11"/>
      <c r="J735" s="12"/>
      <c r="K735" s="12"/>
      <c r="L735" s="10"/>
      <c r="M735" s="10"/>
      <c r="N735" s="12"/>
      <c r="O735" s="11"/>
      <c r="P735" s="11"/>
      <c r="Q735" s="12"/>
      <c r="R735" s="10"/>
    </row>
    <row r="736" spans="1:18" x14ac:dyDescent="0.3">
      <c r="A736" s="30"/>
      <c r="B736" s="10"/>
      <c r="D736" s="10"/>
      <c r="E736" s="11"/>
      <c r="F736" s="10"/>
      <c r="G736" s="11"/>
      <c r="H736" s="11"/>
      <c r="I736" s="11"/>
      <c r="J736" s="12"/>
      <c r="K736" s="12"/>
      <c r="L736" s="12"/>
      <c r="M736" s="12"/>
      <c r="N736" s="10"/>
      <c r="O736" s="11"/>
      <c r="P736" s="11"/>
      <c r="Q736" s="12"/>
      <c r="R736" s="10"/>
    </row>
    <row r="737" spans="1:18" x14ac:dyDescent="0.3">
      <c r="A737" s="30"/>
      <c r="B737" s="10"/>
      <c r="D737" s="10"/>
      <c r="E737" s="11"/>
      <c r="F737" s="10"/>
      <c r="G737" s="11"/>
      <c r="H737" s="11"/>
      <c r="I737" s="11"/>
      <c r="J737" s="12"/>
      <c r="K737" s="12"/>
      <c r="L737" s="10"/>
      <c r="M737" s="10"/>
      <c r="N737" s="12"/>
      <c r="O737" s="11"/>
      <c r="P737" s="11"/>
      <c r="Q737" s="12"/>
      <c r="R737" s="10"/>
    </row>
    <row r="738" spans="1:18" x14ac:dyDescent="0.3">
      <c r="A738" s="30"/>
      <c r="B738" s="10"/>
      <c r="D738" s="10"/>
      <c r="E738" s="11"/>
      <c r="F738" s="10"/>
      <c r="G738" s="11"/>
      <c r="H738" s="11"/>
      <c r="I738" s="11"/>
      <c r="J738" s="12"/>
      <c r="K738" s="12"/>
      <c r="L738" s="10"/>
      <c r="M738" s="10"/>
      <c r="N738" s="12"/>
      <c r="O738" s="11"/>
      <c r="P738" s="11"/>
      <c r="Q738" s="12"/>
      <c r="R738" s="10"/>
    </row>
    <row r="739" spans="1:18" x14ac:dyDescent="0.3">
      <c r="A739" s="30"/>
      <c r="B739" s="10"/>
      <c r="D739" s="10"/>
      <c r="E739" s="11"/>
      <c r="F739" s="10"/>
      <c r="G739" s="11"/>
      <c r="H739" s="11"/>
      <c r="I739" s="11"/>
      <c r="J739" s="12"/>
      <c r="K739" s="12"/>
      <c r="L739" s="10"/>
      <c r="M739" s="10"/>
      <c r="N739" s="12"/>
      <c r="O739" s="11"/>
      <c r="P739" s="11"/>
      <c r="Q739" s="12"/>
      <c r="R739" s="10"/>
    </row>
    <row r="740" spans="1:18" x14ac:dyDescent="0.3">
      <c r="A740" s="30"/>
      <c r="B740" s="10"/>
      <c r="D740" s="10"/>
      <c r="E740" s="11"/>
      <c r="F740" s="10"/>
      <c r="G740" s="11"/>
      <c r="H740" s="11"/>
      <c r="I740" s="11"/>
      <c r="J740" s="12"/>
      <c r="K740" s="12"/>
      <c r="L740" s="12"/>
      <c r="M740" s="12"/>
      <c r="N740" s="10"/>
      <c r="O740" s="11"/>
      <c r="P740" s="12"/>
      <c r="Q740" s="12"/>
      <c r="R740" s="11"/>
    </row>
    <row r="741" spans="1:18" x14ac:dyDescent="0.3">
      <c r="A741" s="30"/>
      <c r="B741" s="10"/>
      <c r="D741" s="10"/>
      <c r="E741" s="11"/>
      <c r="F741" s="10"/>
      <c r="G741" s="11"/>
      <c r="H741" s="11"/>
      <c r="I741" s="11"/>
      <c r="J741" s="12"/>
      <c r="K741" s="12"/>
      <c r="L741" s="10"/>
      <c r="M741" s="10"/>
      <c r="N741" s="12"/>
      <c r="O741" s="11"/>
      <c r="P741" s="11"/>
      <c r="Q741" s="12"/>
      <c r="R741" s="11"/>
    </row>
    <row r="742" spans="1:18" x14ac:dyDescent="0.3">
      <c r="A742" s="30"/>
      <c r="B742" s="10"/>
      <c r="D742" s="10"/>
      <c r="E742" s="11"/>
      <c r="F742" s="10"/>
      <c r="G742" s="11"/>
      <c r="H742" s="11"/>
      <c r="I742" s="11"/>
      <c r="J742" s="12"/>
      <c r="K742" s="12"/>
      <c r="L742" s="10"/>
      <c r="M742" s="10"/>
      <c r="N742" s="12"/>
      <c r="O742" s="11"/>
      <c r="P742" s="11"/>
      <c r="Q742" s="12"/>
      <c r="R742" s="10"/>
    </row>
    <row r="743" spans="1:18" x14ac:dyDescent="0.3">
      <c r="A743" s="30"/>
      <c r="B743" s="10"/>
      <c r="D743" s="10"/>
      <c r="E743" s="11"/>
      <c r="F743" s="10"/>
      <c r="G743" s="11"/>
      <c r="H743" s="11"/>
      <c r="I743" s="11"/>
      <c r="J743" s="12"/>
      <c r="K743" s="12"/>
      <c r="L743" s="12"/>
      <c r="M743" s="12"/>
      <c r="N743" s="10"/>
      <c r="O743" s="11"/>
      <c r="P743" s="11"/>
      <c r="Q743" s="12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0E1EF-E33C-E644-B3DC-D941C855A33C}">
  <dimension ref="A1:X202"/>
  <sheetViews>
    <sheetView topLeftCell="A179" workbookViewId="0">
      <selection activeCell="P210" sqref="P210"/>
    </sheetView>
  </sheetViews>
  <sheetFormatPr defaultColWidth="11.5546875" defaultRowHeight="14.4" x14ac:dyDescent="0.3"/>
  <cols>
    <col min="14" max="14" width="15.109375" customWidth="1"/>
    <col min="16" max="16" width="13.77734375" customWidth="1"/>
  </cols>
  <sheetData>
    <row r="1" spans="1:24" x14ac:dyDescent="0.3">
      <c r="A1" t="s">
        <v>26</v>
      </c>
      <c r="B1" t="s">
        <v>885</v>
      </c>
      <c r="C1" t="s">
        <v>886</v>
      </c>
      <c r="D1" t="s">
        <v>887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s="24" t="s">
        <v>888</v>
      </c>
      <c r="K1" t="s">
        <v>889</v>
      </c>
      <c r="L1" t="s">
        <v>890</v>
      </c>
      <c r="M1" t="s">
        <v>891</v>
      </c>
      <c r="N1" t="s">
        <v>892</v>
      </c>
      <c r="O1" t="s">
        <v>40</v>
      </c>
      <c r="P1" t="s">
        <v>893</v>
      </c>
      <c r="Q1" t="s">
        <v>42</v>
      </c>
      <c r="R1" t="s">
        <v>43</v>
      </c>
      <c r="S1" t="s">
        <v>44</v>
      </c>
      <c r="T1" t="s">
        <v>894</v>
      </c>
      <c r="U1" t="s">
        <v>895</v>
      </c>
      <c r="V1" t="s">
        <v>47</v>
      </c>
      <c r="W1" t="s">
        <v>48</v>
      </c>
      <c r="X1" t="s">
        <v>49</v>
      </c>
    </row>
    <row r="2" spans="1:24" x14ac:dyDescent="0.3">
      <c r="A2" s="8">
        <v>46113</v>
      </c>
      <c r="B2" s="10"/>
      <c r="D2" s="11" t="s">
        <v>620</v>
      </c>
      <c r="E2" s="11" t="s">
        <v>906</v>
      </c>
      <c r="F2" s="10"/>
      <c r="G2" s="11" t="s">
        <v>907</v>
      </c>
      <c r="H2" s="11">
        <v>2</v>
      </c>
      <c r="I2" s="11" t="s">
        <v>77</v>
      </c>
      <c r="J2" s="12">
        <v>350</v>
      </c>
      <c r="K2" s="12">
        <v>700</v>
      </c>
      <c r="L2" s="10"/>
      <c r="M2" s="10"/>
      <c r="N2" s="12">
        <v>700</v>
      </c>
      <c r="O2" s="12">
        <v>174.49</v>
      </c>
      <c r="P2" s="12">
        <v>348.98</v>
      </c>
      <c r="Q2" s="12">
        <v>351.02</v>
      </c>
      <c r="R2" s="11" t="s">
        <v>52</v>
      </c>
    </row>
    <row r="3" spans="1:24" x14ac:dyDescent="0.3">
      <c r="A3" s="8">
        <v>46113</v>
      </c>
      <c r="B3" s="10"/>
      <c r="D3" s="10"/>
      <c r="E3" s="11" t="s">
        <v>1119</v>
      </c>
      <c r="F3" s="10"/>
      <c r="G3" s="11" t="s">
        <v>907</v>
      </c>
      <c r="H3" s="11">
        <v>5</v>
      </c>
      <c r="I3" s="11" t="s">
        <v>100</v>
      </c>
      <c r="J3" s="12">
        <v>5250</v>
      </c>
      <c r="K3" s="12">
        <v>26250</v>
      </c>
      <c r="L3" s="10"/>
      <c r="M3" s="10"/>
      <c r="N3" s="12">
        <v>26250</v>
      </c>
      <c r="O3" s="12">
        <v>3731.54</v>
      </c>
      <c r="P3" s="12">
        <v>18657.7</v>
      </c>
      <c r="Q3" s="12">
        <v>7592.3</v>
      </c>
      <c r="R3" s="11" t="s">
        <v>52</v>
      </c>
    </row>
    <row r="4" spans="1:24" x14ac:dyDescent="0.3">
      <c r="A4" s="8">
        <v>46113</v>
      </c>
      <c r="B4" s="10"/>
      <c r="D4" s="11" t="s">
        <v>71</v>
      </c>
      <c r="E4" s="11" t="s">
        <v>1183</v>
      </c>
      <c r="F4" s="10"/>
      <c r="G4" s="11" t="s">
        <v>907</v>
      </c>
      <c r="H4" s="11">
        <v>1</v>
      </c>
      <c r="I4" s="11" t="s">
        <v>100</v>
      </c>
      <c r="J4" s="12">
        <v>6600</v>
      </c>
      <c r="K4" s="12">
        <v>6600</v>
      </c>
      <c r="L4" s="10"/>
      <c r="M4" s="10"/>
      <c r="N4" s="12">
        <v>6600</v>
      </c>
      <c r="O4" s="12">
        <v>3731.54</v>
      </c>
      <c r="P4" s="12">
        <v>3731.54</v>
      </c>
      <c r="Q4" s="12">
        <v>2868.46</v>
      </c>
      <c r="R4" s="11" t="s">
        <v>52</v>
      </c>
    </row>
    <row r="5" spans="1:24" x14ac:dyDescent="0.3">
      <c r="A5" s="8">
        <v>46113</v>
      </c>
      <c r="B5" s="10"/>
      <c r="D5" s="10"/>
      <c r="E5" s="11" t="s">
        <v>1184</v>
      </c>
      <c r="F5" s="10"/>
      <c r="G5" s="11" t="s">
        <v>907</v>
      </c>
      <c r="H5" s="11">
        <v>1</v>
      </c>
      <c r="I5" s="11" t="s">
        <v>77</v>
      </c>
      <c r="J5" s="12">
        <v>350</v>
      </c>
      <c r="K5" s="12">
        <v>350</v>
      </c>
      <c r="L5" s="10"/>
      <c r="M5" s="10"/>
      <c r="N5" s="12">
        <v>350</v>
      </c>
      <c r="O5" s="12">
        <v>174.49</v>
      </c>
      <c r="P5" s="12">
        <v>174.49</v>
      </c>
      <c r="Q5" s="12">
        <v>175.51</v>
      </c>
      <c r="R5" s="11" t="s">
        <v>52</v>
      </c>
    </row>
    <row r="6" spans="1:24" x14ac:dyDescent="0.3">
      <c r="A6" s="8">
        <v>46113</v>
      </c>
      <c r="B6" s="10"/>
      <c r="D6" s="10"/>
      <c r="E6" s="11" t="s">
        <v>1185</v>
      </c>
      <c r="F6" s="10"/>
      <c r="G6" s="11" t="s">
        <v>907</v>
      </c>
      <c r="H6" s="11">
        <v>2</v>
      </c>
      <c r="I6" s="11" t="s">
        <v>77</v>
      </c>
      <c r="J6" s="12">
        <v>350</v>
      </c>
      <c r="K6" s="12">
        <v>700</v>
      </c>
      <c r="L6" s="10"/>
      <c r="M6" s="10"/>
      <c r="N6" s="12">
        <v>700</v>
      </c>
      <c r="O6" s="12">
        <v>174.49</v>
      </c>
      <c r="P6" s="12">
        <v>348.98</v>
      </c>
      <c r="Q6" s="12">
        <v>351.02</v>
      </c>
      <c r="R6" s="11" t="s">
        <v>52</v>
      </c>
    </row>
    <row r="7" spans="1:24" x14ac:dyDescent="0.3">
      <c r="A7" s="8">
        <v>46113</v>
      </c>
      <c r="B7" s="10"/>
      <c r="D7" s="10"/>
      <c r="E7" s="11" t="s">
        <v>1186</v>
      </c>
      <c r="F7" s="10"/>
      <c r="G7" s="11" t="s">
        <v>907</v>
      </c>
      <c r="H7" s="11">
        <v>5</v>
      </c>
      <c r="I7" s="11" t="s">
        <v>77</v>
      </c>
      <c r="J7" s="12">
        <v>350</v>
      </c>
      <c r="K7" s="12">
        <v>1750</v>
      </c>
      <c r="L7" s="10"/>
      <c r="M7" s="10"/>
      <c r="N7" s="12">
        <v>1750</v>
      </c>
      <c r="O7" s="12">
        <v>174.49</v>
      </c>
      <c r="P7" s="12">
        <v>872.46</v>
      </c>
      <c r="Q7" s="12">
        <v>877.54</v>
      </c>
      <c r="R7" s="11" t="s">
        <v>52</v>
      </c>
    </row>
    <row r="8" spans="1:24" x14ac:dyDescent="0.3">
      <c r="A8" s="8">
        <v>46113</v>
      </c>
      <c r="B8" s="10"/>
      <c r="D8" s="10"/>
      <c r="E8" s="11" t="s">
        <v>1187</v>
      </c>
      <c r="F8" s="10"/>
      <c r="G8" s="11" t="s">
        <v>907</v>
      </c>
      <c r="H8" s="11">
        <v>1</v>
      </c>
      <c r="I8" s="11" t="s">
        <v>77</v>
      </c>
      <c r="J8" s="12">
        <v>350</v>
      </c>
      <c r="K8" s="12">
        <v>350</v>
      </c>
      <c r="L8" s="10"/>
      <c r="M8" s="10"/>
      <c r="N8" s="12">
        <v>350</v>
      </c>
      <c r="O8" s="12">
        <v>174.49</v>
      </c>
      <c r="P8" s="12">
        <v>174.49</v>
      </c>
      <c r="Q8" s="12">
        <v>175.51</v>
      </c>
      <c r="R8" s="11" t="s">
        <v>52</v>
      </c>
    </row>
    <row r="9" spans="1:24" x14ac:dyDescent="0.3">
      <c r="A9" s="8">
        <v>46113</v>
      </c>
      <c r="B9" s="10"/>
      <c r="D9" s="10"/>
      <c r="E9" s="11" t="s">
        <v>1187</v>
      </c>
      <c r="F9" s="10"/>
      <c r="G9" s="11" t="s">
        <v>973</v>
      </c>
      <c r="H9" s="11">
        <v>1</v>
      </c>
      <c r="I9" s="11" t="s">
        <v>74</v>
      </c>
      <c r="J9" s="12">
        <v>300</v>
      </c>
      <c r="K9" s="12">
        <v>300</v>
      </c>
      <c r="L9" s="12">
        <v>267.86</v>
      </c>
      <c r="M9" s="12">
        <v>32.14</v>
      </c>
      <c r="N9" s="10"/>
      <c r="O9" s="12">
        <v>39.200000000000003</v>
      </c>
      <c r="P9" s="12">
        <v>39.200000000000003</v>
      </c>
      <c r="Q9" s="12">
        <v>260.8</v>
      </c>
      <c r="R9" s="11" t="s">
        <v>52</v>
      </c>
    </row>
    <row r="10" spans="1:24" x14ac:dyDescent="0.3">
      <c r="A10" s="8">
        <v>46113</v>
      </c>
      <c r="B10" s="10"/>
      <c r="D10" s="10"/>
      <c r="E10" s="11" t="s">
        <v>1188</v>
      </c>
      <c r="F10" s="10"/>
      <c r="G10" s="11" t="s">
        <v>907</v>
      </c>
      <c r="H10" s="11">
        <v>1</v>
      </c>
      <c r="I10" s="11" t="s">
        <v>77</v>
      </c>
      <c r="J10" s="12">
        <v>350</v>
      </c>
      <c r="K10" s="12">
        <v>350</v>
      </c>
      <c r="L10" s="10"/>
      <c r="M10" s="10"/>
      <c r="N10" s="12">
        <v>350</v>
      </c>
      <c r="O10" s="12">
        <v>174.49</v>
      </c>
      <c r="P10" s="12">
        <v>174.49</v>
      </c>
      <c r="Q10" s="12">
        <v>175.51</v>
      </c>
      <c r="R10" s="11" t="s">
        <v>52</v>
      </c>
    </row>
    <row r="11" spans="1:24" x14ac:dyDescent="0.3">
      <c r="A11" s="8">
        <v>46113</v>
      </c>
      <c r="B11" s="10"/>
      <c r="D11" s="10"/>
      <c r="E11" s="11" t="s">
        <v>990</v>
      </c>
      <c r="F11" s="10"/>
      <c r="G11" s="11" t="s">
        <v>907</v>
      </c>
      <c r="H11" s="11">
        <v>64</v>
      </c>
      <c r="I11" s="11" t="s">
        <v>77</v>
      </c>
      <c r="J11" s="12">
        <v>234.38</v>
      </c>
      <c r="K11" s="12">
        <v>15000</v>
      </c>
      <c r="L11" s="10"/>
      <c r="M11" s="10"/>
      <c r="N11" s="12">
        <v>15000</v>
      </c>
      <c r="O11" s="12">
        <v>174.49</v>
      </c>
      <c r="P11" s="12">
        <v>11167.48</v>
      </c>
      <c r="Q11" s="12">
        <v>3832.52</v>
      </c>
      <c r="R11" s="11" t="s">
        <v>52</v>
      </c>
    </row>
    <row r="12" spans="1:24" x14ac:dyDescent="0.3">
      <c r="A12" s="8">
        <v>46113</v>
      </c>
      <c r="B12" s="10"/>
      <c r="D12" s="11" t="s">
        <v>89</v>
      </c>
      <c r="E12" s="11" t="s">
        <v>952</v>
      </c>
      <c r="F12" s="10"/>
      <c r="G12" s="11" t="s">
        <v>907</v>
      </c>
      <c r="H12" s="11">
        <v>96</v>
      </c>
      <c r="I12" s="11" t="s">
        <v>77</v>
      </c>
      <c r="J12" s="12">
        <v>230</v>
      </c>
      <c r="K12" s="12">
        <v>22080</v>
      </c>
      <c r="L12" s="10"/>
      <c r="M12" s="10"/>
      <c r="N12" s="12">
        <v>22080</v>
      </c>
      <c r="O12" s="12">
        <v>174.49</v>
      </c>
      <c r="P12" s="12">
        <v>16751.22</v>
      </c>
      <c r="Q12" s="12">
        <v>5328.78</v>
      </c>
      <c r="R12" s="11" t="s">
        <v>52</v>
      </c>
    </row>
    <row r="13" spans="1:24" x14ac:dyDescent="0.3">
      <c r="A13" s="8">
        <v>46113</v>
      </c>
      <c r="B13" s="10"/>
      <c r="D13" s="11" t="s">
        <v>89</v>
      </c>
      <c r="E13" s="11" t="s">
        <v>1034</v>
      </c>
      <c r="F13" s="10"/>
      <c r="G13" s="11" t="s">
        <v>907</v>
      </c>
      <c r="H13" s="11">
        <v>1</v>
      </c>
      <c r="I13" s="11" t="s">
        <v>100</v>
      </c>
      <c r="J13" s="12">
        <v>5250</v>
      </c>
      <c r="K13" s="12">
        <v>5250</v>
      </c>
      <c r="L13" s="10"/>
      <c r="M13" s="10"/>
      <c r="N13" s="12">
        <v>5250</v>
      </c>
      <c r="O13" s="12">
        <v>3731.54</v>
      </c>
      <c r="P13" s="12">
        <v>3731.54</v>
      </c>
      <c r="Q13" s="12">
        <v>1518.46</v>
      </c>
      <c r="R13" s="11" t="s">
        <v>52</v>
      </c>
    </row>
    <row r="14" spans="1:24" x14ac:dyDescent="0.3">
      <c r="A14" s="8">
        <v>46115</v>
      </c>
      <c r="B14" s="10"/>
      <c r="D14" s="11" t="s">
        <v>71</v>
      </c>
      <c r="E14" s="11" t="s">
        <v>1189</v>
      </c>
      <c r="F14" s="10"/>
      <c r="G14" s="11" t="s">
        <v>907</v>
      </c>
      <c r="H14" s="11">
        <v>1</v>
      </c>
      <c r="I14" s="11" t="s">
        <v>100</v>
      </c>
      <c r="J14" s="12">
        <v>6600</v>
      </c>
      <c r="K14" s="12">
        <v>6600</v>
      </c>
      <c r="L14" s="10"/>
      <c r="M14" s="10"/>
      <c r="N14" s="12">
        <v>6600</v>
      </c>
      <c r="O14" s="12">
        <v>3731.54</v>
      </c>
      <c r="P14" s="12">
        <v>3731.54</v>
      </c>
      <c r="Q14" s="12">
        <v>2868.46</v>
      </c>
      <c r="R14" s="10"/>
    </row>
    <row r="15" spans="1:24" x14ac:dyDescent="0.3">
      <c r="A15" s="8">
        <v>46115</v>
      </c>
      <c r="B15" s="10"/>
      <c r="D15" s="11" t="s">
        <v>71</v>
      </c>
      <c r="E15" s="11" t="s">
        <v>1042</v>
      </c>
      <c r="F15" s="10"/>
      <c r="G15" s="11" t="s">
        <v>907</v>
      </c>
      <c r="H15" s="11">
        <v>1</v>
      </c>
      <c r="I15" s="11" t="s">
        <v>100</v>
      </c>
      <c r="J15" s="12">
        <v>6600</v>
      </c>
      <c r="K15" s="12">
        <v>6600</v>
      </c>
      <c r="L15" s="10"/>
      <c r="M15" s="10"/>
      <c r="N15" s="12">
        <v>6600</v>
      </c>
      <c r="O15" s="12">
        <v>3731.54</v>
      </c>
      <c r="P15" s="12">
        <v>3731.54</v>
      </c>
      <c r="Q15" s="12">
        <v>2868.46</v>
      </c>
      <c r="R15" s="10"/>
    </row>
    <row r="16" spans="1:24" x14ac:dyDescent="0.3">
      <c r="A16" s="8">
        <v>46115</v>
      </c>
      <c r="B16" s="10"/>
      <c r="D16" s="11" t="s">
        <v>71</v>
      </c>
      <c r="E16" s="11" t="s">
        <v>1042</v>
      </c>
      <c r="F16" s="10"/>
      <c r="G16" s="11" t="s">
        <v>907</v>
      </c>
      <c r="H16" s="11">
        <v>1</v>
      </c>
      <c r="I16" s="11" t="s">
        <v>100</v>
      </c>
      <c r="J16" s="12">
        <v>6600</v>
      </c>
      <c r="K16" s="12">
        <v>6600</v>
      </c>
      <c r="L16" s="10"/>
      <c r="M16" s="10"/>
      <c r="N16" s="12">
        <v>6600</v>
      </c>
      <c r="O16" s="12">
        <v>3731.54</v>
      </c>
      <c r="P16" s="12">
        <v>3731.54</v>
      </c>
      <c r="Q16" s="12">
        <v>2868.46</v>
      </c>
      <c r="R16" s="10"/>
    </row>
    <row r="17" spans="1:18" x14ac:dyDescent="0.3">
      <c r="A17" s="8">
        <v>46115</v>
      </c>
      <c r="B17" s="10"/>
      <c r="D17" s="11" t="s">
        <v>71</v>
      </c>
      <c r="E17" s="11" t="s">
        <v>1190</v>
      </c>
      <c r="F17" s="10"/>
      <c r="G17" s="11" t="s">
        <v>907</v>
      </c>
      <c r="H17" s="11">
        <v>1</v>
      </c>
      <c r="I17" s="11" t="s">
        <v>1191</v>
      </c>
      <c r="J17" s="12">
        <v>250</v>
      </c>
      <c r="K17" s="12">
        <v>250</v>
      </c>
      <c r="L17" s="10"/>
      <c r="M17" s="10"/>
      <c r="N17" s="12">
        <v>250</v>
      </c>
      <c r="O17" s="12">
        <v>102.22</v>
      </c>
      <c r="P17" s="12">
        <v>102.22</v>
      </c>
      <c r="Q17" s="12">
        <v>147.78</v>
      </c>
      <c r="R17" s="10"/>
    </row>
    <row r="18" spans="1:18" x14ac:dyDescent="0.3">
      <c r="A18" s="8">
        <v>46115</v>
      </c>
      <c r="B18" s="10"/>
      <c r="D18" s="11" t="s">
        <v>71</v>
      </c>
      <c r="E18" s="11" t="s">
        <v>1192</v>
      </c>
      <c r="F18" s="10"/>
      <c r="G18" s="11" t="s">
        <v>907</v>
      </c>
      <c r="H18" s="11">
        <v>1</v>
      </c>
      <c r="I18" s="11" t="s">
        <v>77</v>
      </c>
      <c r="J18" s="12">
        <v>350</v>
      </c>
      <c r="K18" s="12">
        <v>350</v>
      </c>
      <c r="L18" s="10"/>
      <c r="M18" s="10"/>
      <c r="N18" s="12">
        <v>350</v>
      </c>
      <c r="O18" s="12">
        <v>174.49</v>
      </c>
      <c r="P18" s="12">
        <v>174.49</v>
      </c>
      <c r="Q18" s="12">
        <v>175.51</v>
      </c>
      <c r="R18" s="10"/>
    </row>
    <row r="19" spans="1:18" x14ac:dyDescent="0.3">
      <c r="A19" s="8">
        <v>46115</v>
      </c>
      <c r="B19" s="10"/>
      <c r="D19" s="11" t="s">
        <v>71</v>
      </c>
      <c r="E19" s="11" t="s">
        <v>1193</v>
      </c>
      <c r="F19" s="10"/>
      <c r="G19" s="11" t="s">
        <v>907</v>
      </c>
      <c r="H19" s="11">
        <v>1</v>
      </c>
      <c r="I19" s="11" t="s">
        <v>77</v>
      </c>
      <c r="J19" s="12">
        <v>350</v>
      </c>
      <c r="K19" s="12">
        <v>350</v>
      </c>
      <c r="L19" s="10"/>
      <c r="M19" s="10"/>
      <c r="N19" s="12">
        <v>350</v>
      </c>
      <c r="O19" s="12">
        <v>174.49</v>
      </c>
      <c r="P19" s="12">
        <v>174.49</v>
      </c>
      <c r="Q19" s="12">
        <v>175.51</v>
      </c>
      <c r="R19" s="10"/>
    </row>
    <row r="20" spans="1:18" x14ac:dyDescent="0.3">
      <c r="A20" s="8">
        <v>46115</v>
      </c>
      <c r="B20" s="10"/>
      <c r="D20" s="11" t="s">
        <v>71</v>
      </c>
      <c r="E20" s="11" t="s">
        <v>1194</v>
      </c>
      <c r="F20" s="10"/>
      <c r="G20" s="11" t="s">
        <v>907</v>
      </c>
      <c r="H20" s="11">
        <v>1</v>
      </c>
      <c r="I20" s="11" t="s">
        <v>77</v>
      </c>
      <c r="J20" s="12">
        <v>350</v>
      </c>
      <c r="K20" s="12">
        <v>350</v>
      </c>
      <c r="L20" s="10"/>
      <c r="M20" s="10"/>
      <c r="N20" s="12">
        <v>350</v>
      </c>
      <c r="O20" s="12">
        <v>174.49</v>
      </c>
      <c r="P20" s="12">
        <v>174.49</v>
      </c>
      <c r="Q20" s="12">
        <v>175.51</v>
      </c>
      <c r="R20" s="10"/>
    </row>
    <row r="21" spans="1:18" x14ac:dyDescent="0.3">
      <c r="A21" s="8">
        <v>46115</v>
      </c>
      <c r="B21" s="10"/>
      <c r="D21" s="11" t="s">
        <v>71</v>
      </c>
      <c r="E21" s="11" t="s">
        <v>1195</v>
      </c>
      <c r="F21" s="10"/>
      <c r="G21" s="11" t="s">
        <v>907</v>
      </c>
      <c r="H21" s="11">
        <v>1</v>
      </c>
      <c r="I21" s="11" t="s">
        <v>77</v>
      </c>
      <c r="J21" s="12">
        <v>350</v>
      </c>
      <c r="K21" s="12">
        <v>350</v>
      </c>
      <c r="L21" s="10"/>
      <c r="M21" s="10"/>
      <c r="N21" s="12">
        <v>350</v>
      </c>
      <c r="O21" s="12">
        <v>174.49</v>
      </c>
      <c r="P21" s="12">
        <v>174.49</v>
      </c>
      <c r="Q21" s="12">
        <v>175.51</v>
      </c>
      <c r="R21" s="10"/>
    </row>
    <row r="22" spans="1:18" x14ac:dyDescent="0.3">
      <c r="A22" s="8">
        <v>46115</v>
      </c>
      <c r="B22" s="10"/>
      <c r="D22" s="11" t="s">
        <v>71</v>
      </c>
      <c r="E22" s="11" t="s">
        <v>1196</v>
      </c>
      <c r="F22" s="10"/>
      <c r="G22" s="11" t="s">
        <v>907</v>
      </c>
      <c r="H22" s="11">
        <v>2</v>
      </c>
      <c r="I22" s="11" t="s">
        <v>77</v>
      </c>
      <c r="J22" s="12">
        <v>350</v>
      </c>
      <c r="K22" s="12">
        <v>700</v>
      </c>
      <c r="L22" s="10"/>
      <c r="M22" s="10"/>
      <c r="N22" s="12">
        <v>700</v>
      </c>
      <c r="O22" s="12">
        <v>174.49</v>
      </c>
      <c r="P22" s="12">
        <v>348.98</v>
      </c>
      <c r="Q22" s="12">
        <v>351.02</v>
      </c>
      <c r="R22" s="10"/>
    </row>
    <row r="23" spans="1:18" x14ac:dyDescent="0.3">
      <c r="A23" s="8">
        <v>46115</v>
      </c>
      <c r="B23" s="10"/>
      <c r="D23" s="11" t="s">
        <v>71</v>
      </c>
      <c r="E23" s="11" t="s">
        <v>1071</v>
      </c>
      <c r="F23" s="10"/>
      <c r="G23" s="11" t="s">
        <v>907</v>
      </c>
      <c r="H23" s="11">
        <v>2</v>
      </c>
      <c r="I23" s="11" t="s">
        <v>77</v>
      </c>
      <c r="J23" s="12">
        <v>350</v>
      </c>
      <c r="K23" s="12">
        <v>700</v>
      </c>
      <c r="L23" s="10"/>
      <c r="M23" s="10"/>
      <c r="N23" s="12">
        <v>700</v>
      </c>
      <c r="O23" s="12">
        <v>174.49</v>
      </c>
      <c r="P23" s="12">
        <v>348.98</v>
      </c>
      <c r="Q23" s="12">
        <v>351.02</v>
      </c>
      <c r="R23" s="10"/>
    </row>
    <row r="24" spans="1:18" x14ac:dyDescent="0.3">
      <c r="A24" s="8">
        <v>46115</v>
      </c>
      <c r="B24" s="10"/>
      <c r="D24" s="11" t="s">
        <v>71</v>
      </c>
      <c r="E24" s="11" t="s">
        <v>1197</v>
      </c>
      <c r="F24" s="10"/>
      <c r="G24" s="11" t="s">
        <v>907</v>
      </c>
      <c r="H24" s="11">
        <v>3</v>
      </c>
      <c r="I24" s="11" t="s">
        <v>77</v>
      </c>
      <c r="J24" s="12">
        <v>350</v>
      </c>
      <c r="K24" s="12">
        <v>1050</v>
      </c>
      <c r="L24" s="10"/>
      <c r="M24" s="10"/>
      <c r="N24" s="12">
        <v>1050</v>
      </c>
      <c r="O24" s="12">
        <v>174.49</v>
      </c>
      <c r="P24" s="12">
        <v>523.48</v>
      </c>
      <c r="Q24" s="12">
        <v>526.52</v>
      </c>
      <c r="R24" s="10"/>
    </row>
    <row r="25" spans="1:18" x14ac:dyDescent="0.3">
      <c r="A25" s="8">
        <v>46115</v>
      </c>
      <c r="B25" s="10"/>
      <c r="D25" s="11" t="s">
        <v>71</v>
      </c>
      <c r="E25" s="11" t="s">
        <v>1198</v>
      </c>
      <c r="F25" s="10"/>
      <c r="G25" s="11" t="s">
        <v>907</v>
      </c>
      <c r="H25" s="11">
        <v>3</v>
      </c>
      <c r="I25" s="11" t="s">
        <v>77</v>
      </c>
      <c r="J25" s="12">
        <v>350</v>
      </c>
      <c r="K25" s="12">
        <v>1050</v>
      </c>
      <c r="L25" s="10"/>
      <c r="M25" s="10"/>
      <c r="N25" s="12">
        <v>1050</v>
      </c>
      <c r="O25" s="12">
        <v>174.49</v>
      </c>
      <c r="P25" s="12">
        <v>523.48</v>
      </c>
      <c r="Q25" s="12">
        <v>526.52</v>
      </c>
      <c r="R25" s="10"/>
    </row>
    <row r="26" spans="1:18" x14ac:dyDescent="0.3">
      <c r="A26" s="8">
        <v>46116</v>
      </c>
      <c r="B26" s="10"/>
      <c r="D26" s="11" t="s">
        <v>71</v>
      </c>
      <c r="E26" s="11" t="s">
        <v>1199</v>
      </c>
      <c r="F26" s="10"/>
      <c r="G26" s="11" t="s">
        <v>625</v>
      </c>
      <c r="H26" s="11">
        <v>1</v>
      </c>
      <c r="I26" s="11" t="s">
        <v>74</v>
      </c>
      <c r="J26" s="12">
        <v>3224</v>
      </c>
      <c r="K26" s="12">
        <v>3224</v>
      </c>
      <c r="L26" s="12">
        <v>2878.57</v>
      </c>
      <c r="M26" s="10"/>
      <c r="N26" s="10"/>
      <c r="O26" s="12">
        <v>2210</v>
      </c>
      <c r="P26" s="12">
        <v>2210</v>
      </c>
      <c r="Q26" s="12">
        <v>1014</v>
      </c>
      <c r="R26" s="10"/>
    </row>
    <row r="27" spans="1:18" x14ac:dyDescent="0.3">
      <c r="A27" s="8">
        <v>46116</v>
      </c>
      <c r="B27" s="10"/>
      <c r="D27" s="11" t="s">
        <v>71</v>
      </c>
      <c r="E27" s="11" t="s">
        <v>1200</v>
      </c>
      <c r="F27" s="10"/>
      <c r="G27" s="11" t="s">
        <v>625</v>
      </c>
      <c r="H27" s="11">
        <v>1</v>
      </c>
      <c r="I27" s="11" t="s">
        <v>74</v>
      </c>
      <c r="J27" s="12">
        <v>3224</v>
      </c>
      <c r="K27" s="12">
        <v>3224</v>
      </c>
      <c r="L27" s="12">
        <v>2878.57</v>
      </c>
      <c r="M27" s="10"/>
      <c r="N27" s="10"/>
      <c r="O27" s="12">
        <v>2210</v>
      </c>
      <c r="P27" s="12">
        <v>2210</v>
      </c>
      <c r="Q27" s="12">
        <v>1014</v>
      </c>
      <c r="R27" s="10"/>
    </row>
    <row r="28" spans="1:18" x14ac:dyDescent="0.3">
      <c r="A28" s="8">
        <v>46116</v>
      </c>
      <c r="B28" s="10"/>
      <c r="D28" s="11" t="s">
        <v>71</v>
      </c>
      <c r="E28" s="11" t="s">
        <v>963</v>
      </c>
      <c r="F28" s="10"/>
      <c r="G28" s="11" t="s">
        <v>907</v>
      </c>
      <c r="H28" s="11">
        <v>1</v>
      </c>
      <c r="I28" s="11" t="s">
        <v>100</v>
      </c>
      <c r="J28" s="12">
        <v>6600</v>
      </c>
      <c r="K28" s="12">
        <v>6600</v>
      </c>
      <c r="L28" s="10"/>
      <c r="M28" s="10"/>
      <c r="N28" s="12">
        <v>6600</v>
      </c>
      <c r="O28" s="12">
        <v>3731.54</v>
      </c>
      <c r="P28" s="12">
        <v>3731.54</v>
      </c>
      <c r="Q28" s="12">
        <v>2868.46</v>
      </c>
      <c r="R28" s="10"/>
    </row>
    <row r="29" spans="1:18" x14ac:dyDescent="0.3">
      <c r="A29" s="8">
        <v>46116</v>
      </c>
      <c r="B29" s="10"/>
      <c r="D29" s="11" t="s">
        <v>915</v>
      </c>
      <c r="E29" s="10"/>
      <c r="F29" s="10"/>
      <c r="G29" s="11" t="s">
        <v>907</v>
      </c>
      <c r="H29" s="11">
        <v>1</v>
      </c>
      <c r="I29" s="11" t="s">
        <v>100</v>
      </c>
      <c r="J29" s="12">
        <v>5500</v>
      </c>
      <c r="K29" s="12">
        <v>5500</v>
      </c>
      <c r="L29" s="10"/>
      <c r="M29" s="10"/>
      <c r="N29" s="12">
        <v>5500</v>
      </c>
      <c r="O29" s="12">
        <v>3731.54</v>
      </c>
      <c r="P29" s="12">
        <v>3731.54</v>
      </c>
      <c r="Q29" s="12">
        <v>1768.46</v>
      </c>
      <c r="R29" s="10"/>
    </row>
    <row r="30" spans="1:18" x14ac:dyDescent="0.3">
      <c r="A30" s="8">
        <v>46117</v>
      </c>
      <c r="B30" s="10"/>
      <c r="D30" s="11" t="s">
        <v>1201</v>
      </c>
      <c r="E30" s="11" t="s">
        <v>1202</v>
      </c>
      <c r="F30" s="10"/>
      <c r="G30" s="11" t="s">
        <v>111</v>
      </c>
      <c r="H30" s="11">
        <v>1</v>
      </c>
      <c r="I30" s="11" t="s">
        <v>74</v>
      </c>
      <c r="J30" s="12">
        <v>1249</v>
      </c>
      <c r="K30" s="12">
        <v>1249</v>
      </c>
      <c r="L30" s="12">
        <v>1115.18</v>
      </c>
      <c r="M30" s="12">
        <v>133.82</v>
      </c>
      <c r="N30" s="10"/>
      <c r="O30" s="12">
        <v>870</v>
      </c>
      <c r="P30" s="12">
        <v>870</v>
      </c>
      <c r="Q30" s="12">
        <v>379</v>
      </c>
      <c r="R30" s="11" t="s">
        <v>52</v>
      </c>
    </row>
    <row r="31" spans="1:18" x14ac:dyDescent="0.3">
      <c r="A31" s="8">
        <v>46117</v>
      </c>
      <c r="B31" s="10"/>
      <c r="D31" s="11" t="s">
        <v>71</v>
      </c>
      <c r="E31" s="11" t="s">
        <v>1203</v>
      </c>
      <c r="F31" s="10"/>
      <c r="G31" s="11" t="s">
        <v>907</v>
      </c>
      <c r="H31" s="11">
        <v>1</v>
      </c>
      <c r="I31" s="11" t="s">
        <v>77</v>
      </c>
      <c r="J31" s="12">
        <v>350</v>
      </c>
      <c r="K31" s="12">
        <v>350</v>
      </c>
      <c r="L31" s="10"/>
      <c r="M31" s="10"/>
      <c r="N31" s="12">
        <v>350</v>
      </c>
      <c r="O31" s="12">
        <v>174.49</v>
      </c>
      <c r="P31" s="12">
        <v>174.49</v>
      </c>
      <c r="Q31" s="12">
        <v>175.51</v>
      </c>
      <c r="R31" s="11" t="s">
        <v>52</v>
      </c>
    </row>
    <row r="32" spans="1:18" x14ac:dyDescent="0.3">
      <c r="A32" s="8">
        <v>46117</v>
      </c>
      <c r="B32" s="10"/>
      <c r="D32" s="11" t="s">
        <v>71</v>
      </c>
      <c r="E32" s="11" t="s">
        <v>1204</v>
      </c>
      <c r="F32" s="10"/>
      <c r="G32" s="11" t="s">
        <v>907</v>
      </c>
      <c r="H32" s="11">
        <v>1</v>
      </c>
      <c r="I32" s="11" t="s">
        <v>100</v>
      </c>
      <c r="J32" s="12">
        <v>6600</v>
      </c>
      <c r="K32" s="12">
        <v>6600</v>
      </c>
      <c r="L32" s="10"/>
      <c r="M32" s="10"/>
      <c r="N32" s="12">
        <v>6600</v>
      </c>
      <c r="O32" s="12">
        <v>3731.54</v>
      </c>
      <c r="P32" s="12">
        <v>3731.54</v>
      </c>
      <c r="Q32" s="12">
        <v>2868.46</v>
      </c>
      <c r="R32" s="11" t="s">
        <v>52</v>
      </c>
    </row>
    <row r="33" spans="1:18" x14ac:dyDescent="0.3">
      <c r="A33" s="8">
        <v>46117</v>
      </c>
      <c r="B33" s="10"/>
      <c r="D33" s="11" t="s">
        <v>71</v>
      </c>
      <c r="E33" s="11" t="s">
        <v>1205</v>
      </c>
      <c r="F33" s="10"/>
      <c r="G33" s="11" t="s">
        <v>907</v>
      </c>
      <c r="H33" s="11">
        <v>1</v>
      </c>
      <c r="I33" s="11" t="s">
        <v>77</v>
      </c>
      <c r="J33" s="12">
        <v>350</v>
      </c>
      <c r="K33" s="12">
        <v>350</v>
      </c>
      <c r="L33" s="10"/>
      <c r="M33" s="10"/>
      <c r="N33" s="12">
        <v>350</v>
      </c>
      <c r="O33" s="12">
        <v>174.49</v>
      </c>
      <c r="P33" s="12">
        <v>174.49</v>
      </c>
      <c r="Q33" s="12">
        <v>175.51</v>
      </c>
      <c r="R33" s="11" t="s">
        <v>52</v>
      </c>
    </row>
    <row r="34" spans="1:18" x14ac:dyDescent="0.3">
      <c r="A34" s="8">
        <v>46117</v>
      </c>
      <c r="B34" s="10"/>
      <c r="D34" s="11" t="s">
        <v>71</v>
      </c>
      <c r="E34" s="11" t="s">
        <v>1206</v>
      </c>
      <c r="F34" s="10"/>
      <c r="G34" s="11" t="s">
        <v>542</v>
      </c>
      <c r="H34" s="11">
        <v>1</v>
      </c>
      <c r="I34" s="11" t="s">
        <v>188</v>
      </c>
      <c r="J34" s="12">
        <v>2240</v>
      </c>
      <c r="K34" s="12">
        <v>2240</v>
      </c>
      <c r="L34" s="12">
        <v>2238.8000000000002</v>
      </c>
      <c r="M34" s="12">
        <v>268.66000000000003</v>
      </c>
      <c r="N34" s="10"/>
      <c r="O34" s="12">
        <v>1359.99</v>
      </c>
      <c r="P34" s="12">
        <v>1359.99</v>
      </c>
      <c r="Q34" s="12">
        <v>880.01</v>
      </c>
      <c r="R34" s="11" t="s">
        <v>52</v>
      </c>
    </row>
    <row r="35" spans="1:18" x14ac:dyDescent="0.3">
      <c r="A35" s="8">
        <v>46117</v>
      </c>
      <c r="B35" s="10"/>
      <c r="D35" s="11" t="s">
        <v>71</v>
      </c>
      <c r="E35" s="11" t="s">
        <v>1207</v>
      </c>
      <c r="F35" s="10"/>
      <c r="G35" s="11" t="s">
        <v>907</v>
      </c>
      <c r="H35" s="10"/>
      <c r="I35" s="11" t="s">
        <v>1208</v>
      </c>
      <c r="J35" s="11" t="s">
        <v>189</v>
      </c>
      <c r="K35" s="11" t="s">
        <v>189</v>
      </c>
      <c r="L35" s="10"/>
      <c r="M35" s="10"/>
      <c r="N35" s="11" t="s">
        <v>189</v>
      </c>
      <c r="O35" s="11" t="s">
        <v>189</v>
      </c>
      <c r="P35" s="11" t="s">
        <v>189</v>
      </c>
      <c r="Q35" s="11" t="s">
        <v>189</v>
      </c>
      <c r="R35" s="11" t="s">
        <v>1209</v>
      </c>
    </row>
    <row r="36" spans="1:18" x14ac:dyDescent="0.3">
      <c r="A36" s="8">
        <v>46118</v>
      </c>
      <c r="B36" s="10"/>
      <c r="D36" s="11" t="s">
        <v>71</v>
      </c>
      <c r="E36" s="11" t="s">
        <v>1020</v>
      </c>
      <c r="F36" s="10"/>
      <c r="G36" s="11" t="s">
        <v>907</v>
      </c>
      <c r="H36" s="11">
        <v>10</v>
      </c>
      <c r="I36" s="11" t="s">
        <v>77</v>
      </c>
      <c r="J36" s="12">
        <v>350</v>
      </c>
      <c r="K36" s="12">
        <v>3500</v>
      </c>
      <c r="L36" s="10"/>
      <c r="M36" s="10"/>
      <c r="N36" s="12">
        <v>3500</v>
      </c>
      <c r="O36" s="12">
        <v>174.49</v>
      </c>
      <c r="P36" s="12">
        <v>1744.92</v>
      </c>
      <c r="Q36" s="12">
        <v>1755.08</v>
      </c>
      <c r="R36" s="11" t="s">
        <v>52</v>
      </c>
    </row>
    <row r="37" spans="1:18" x14ac:dyDescent="0.3">
      <c r="A37" s="8">
        <v>46118</v>
      </c>
      <c r="B37" s="10"/>
      <c r="D37" s="11" t="s">
        <v>71</v>
      </c>
      <c r="E37" s="11" t="s">
        <v>1210</v>
      </c>
      <c r="F37" s="10"/>
      <c r="G37" s="11" t="s">
        <v>907</v>
      </c>
      <c r="H37" s="11">
        <v>1</v>
      </c>
      <c r="I37" s="11" t="s">
        <v>77</v>
      </c>
      <c r="J37" s="12">
        <v>350</v>
      </c>
      <c r="K37" s="12">
        <v>350</v>
      </c>
      <c r="L37" s="10"/>
      <c r="M37" s="10"/>
      <c r="N37" s="12">
        <v>350</v>
      </c>
      <c r="O37" s="12">
        <v>174.49</v>
      </c>
      <c r="P37" s="12">
        <v>174.49</v>
      </c>
      <c r="Q37" s="12">
        <v>175.51</v>
      </c>
      <c r="R37" s="11" t="s">
        <v>52</v>
      </c>
    </row>
    <row r="38" spans="1:18" x14ac:dyDescent="0.3">
      <c r="A38" s="8">
        <v>46118</v>
      </c>
      <c r="B38" s="10"/>
      <c r="D38" s="11" t="s">
        <v>71</v>
      </c>
      <c r="E38" s="11" t="s">
        <v>1211</v>
      </c>
      <c r="F38" s="10"/>
      <c r="G38" s="11" t="s">
        <v>907</v>
      </c>
      <c r="H38" s="11">
        <v>1</v>
      </c>
      <c r="I38" s="11" t="s">
        <v>77</v>
      </c>
      <c r="J38" s="12">
        <v>350</v>
      </c>
      <c r="K38" s="12">
        <v>350</v>
      </c>
      <c r="L38" s="10"/>
      <c r="M38" s="10"/>
      <c r="N38" s="12">
        <v>350</v>
      </c>
      <c r="O38" s="12">
        <v>174.49</v>
      </c>
      <c r="P38" s="12">
        <v>174.49</v>
      </c>
      <c r="Q38" s="12">
        <v>175.51</v>
      </c>
      <c r="R38" s="11" t="s">
        <v>52</v>
      </c>
    </row>
    <row r="39" spans="1:18" x14ac:dyDescent="0.3">
      <c r="A39" s="8">
        <v>46118</v>
      </c>
      <c r="B39" s="10"/>
      <c r="D39" s="11" t="s">
        <v>71</v>
      </c>
      <c r="E39" s="11" t="s">
        <v>1212</v>
      </c>
      <c r="F39" s="10"/>
      <c r="G39" s="11" t="s">
        <v>907</v>
      </c>
      <c r="H39" s="11">
        <v>1</v>
      </c>
      <c r="I39" s="11" t="s">
        <v>1191</v>
      </c>
      <c r="J39" s="12">
        <v>250</v>
      </c>
      <c r="K39" s="12">
        <v>250</v>
      </c>
      <c r="L39" s="10"/>
      <c r="M39" s="10"/>
      <c r="N39" s="12">
        <v>250</v>
      </c>
      <c r="O39" s="12">
        <v>102.22</v>
      </c>
      <c r="P39" s="12">
        <v>102.22</v>
      </c>
      <c r="Q39" s="12">
        <v>147.78</v>
      </c>
      <c r="R39" s="10"/>
    </row>
    <row r="40" spans="1:18" x14ac:dyDescent="0.3">
      <c r="A40" s="8">
        <v>46118</v>
      </c>
      <c r="B40" s="10"/>
      <c r="D40" s="11" t="s">
        <v>71</v>
      </c>
      <c r="E40" s="11" t="s">
        <v>1180</v>
      </c>
      <c r="F40" s="10"/>
      <c r="G40" s="11" t="s">
        <v>907</v>
      </c>
      <c r="H40" s="11">
        <v>1</v>
      </c>
      <c r="I40" s="11" t="s">
        <v>77</v>
      </c>
      <c r="J40" s="12">
        <v>350</v>
      </c>
      <c r="K40" s="12">
        <v>350</v>
      </c>
      <c r="L40" s="10"/>
      <c r="M40" s="10"/>
      <c r="N40" s="12">
        <v>350</v>
      </c>
      <c r="O40" s="12">
        <v>174.49</v>
      </c>
      <c r="P40" s="12">
        <v>174.49</v>
      </c>
      <c r="Q40" s="12">
        <v>175.51</v>
      </c>
      <c r="R40" s="11" t="s">
        <v>52</v>
      </c>
    </row>
    <row r="41" spans="1:18" x14ac:dyDescent="0.3">
      <c r="A41" s="8">
        <v>46118</v>
      </c>
      <c r="B41" s="10"/>
      <c r="D41" s="11" t="s">
        <v>71</v>
      </c>
      <c r="E41" s="11" t="s">
        <v>1213</v>
      </c>
      <c r="F41" s="10"/>
      <c r="G41" s="11" t="s">
        <v>73</v>
      </c>
      <c r="H41" s="11">
        <v>1</v>
      </c>
      <c r="I41" s="11" t="s">
        <v>74</v>
      </c>
      <c r="J41" s="12">
        <v>690</v>
      </c>
      <c r="K41" s="12">
        <v>690</v>
      </c>
      <c r="L41" s="12">
        <v>616.07000000000005</v>
      </c>
      <c r="M41" s="12">
        <v>73.930000000000007</v>
      </c>
      <c r="N41" s="10"/>
      <c r="O41" s="12">
        <v>395.83</v>
      </c>
      <c r="P41" s="12">
        <v>395.83</v>
      </c>
      <c r="Q41" s="12">
        <v>294.17</v>
      </c>
      <c r="R41" s="10"/>
    </row>
    <row r="42" spans="1:18" x14ac:dyDescent="0.3">
      <c r="A42" s="8">
        <v>46118</v>
      </c>
      <c r="B42" s="10"/>
      <c r="D42" s="11" t="s">
        <v>71</v>
      </c>
      <c r="E42" s="11" t="s">
        <v>1190</v>
      </c>
      <c r="F42" s="10"/>
      <c r="G42" s="11" t="s">
        <v>907</v>
      </c>
      <c r="H42" s="11">
        <v>1</v>
      </c>
      <c r="I42" s="11" t="s">
        <v>77</v>
      </c>
      <c r="J42" s="12">
        <v>350</v>
      </c>
      <c r="K42" s="12">
        <v>350</v>
      </c>
      <c r="L42" s="10"/>
      <c r="M42" s="10"/>
      <c r="N42" s="12">
        <v>350</v>
      </c>
      <c r="O42" s="12">
        <v>174.49</v>
      </c>
      <c r="P42" s="12">
        <v>174.49</v>
      </c>
      <c r="Q42" s="12">
        <v>175.51</v>
      </c>
      <c r="R42" s="11" t="s">
        <v>52</v>
      </c>
    </row>
    <row r="43" spans="1:18" x14ac:dyDescent="0.3">
      <c r="A43" s="8">
        <v>46118</v>
      </c>
      <c r="B43" s="10"/>
      <c r="D43" s="11" t="s">
        <v>71</v>
      </c>
      <c r="E43" s="11" t="s">
        <v>1214</v>
      </c>
      <c r="F43" s="10"/>
      <c r="G43" s="11" t="s">
        <v>907</v>
      </c>
      <c r="H43" s="11">
        <v>1</v>
      </c>
      <c r="I43" s="11" t="s">
        <v>77</v>
      </c>
      <c r="J43" s="12">
        <v>350</v>
      </c>
      <c r="K43" s="12">
        <v>350</v>
      </c>
      <c r="L43" s="10"/>
      <c r="M43" s="10"/>
      <c r="N43" s="12">
        <v>350</v>
      </c>
      <c r="O43" s="12">
        <v>174.49</v>
      </c>
      <c r="P43" s="12">
        <v>174.49</v>
      </c>
      <c r="Q43" s="12">
        <v>175.51</v>
      </c>
      <c r="R43" s="11" t="s">
        <v>52</v>
      </c>
    </row>
    <row r="44" spans="1:18" x14ac:dyDescent="0.3">
      <c r="A44" s="8">
        <v>46118</v>
      </c>
      <c r="B44" s="10"/>
      <c r="D44" s="11" t="s">
        <v>89</v>
      </c>
      <c r="E44" s="11" t="s">
        <v>1215</v>
      </c>
      <c r="F44" s="10"/>
      <c r="G44" s="11" t="s">
        <v>907</v>
      </c>
      <c r="H44" s="11">
        <v>32</v>
      </c>
      <c r="I44" s="11" t="s">
        <v>77</v>
      </c>
      <c r="J44" s="12">
        <v>250</v>
      </c>
      <c r="K44" s="12">
        <v>8000</v>
      </c>
      <c r="L44" s="10"/>
      <c r="M44" s="10"/>
      <c r="N44" s="12">
        <v>8000</v>
      </c>
      <c r="O44" s="12">
        <v>174.49</v>
      </c>
      <c r="P44" s="12">
        <v>5583.74</v>
      </c>
      <c r="Q44" s="12">
        <v>2416.2600000000002</v>
      </c>
      <c r="R44" s="11" t="s">
        <v>52</v>
      </c>
    </row>
    <row r="45" spans="1:18" x14ac:dyDescent="0.3">
      <c r="A45" s="8">
        <v>46118</v>
      </c>
      <c r="B45" s="10"/>
      <c r="D45" s="11" t="s">
        <v>1073</v>
      </c>
      <c r="E45" s="11" t="s">
        <v>1006</v>
      </c>
      <c r="F45" s="10"/>
      <c r="G45" s="11" t="s">
        <v>907</v>
      </c>
      <c r="H45" s="11">
        <v>15</v>
      </c>
      <c r="I45" s="11" t="s">
        <v>100</v>
      </c>
      <c r="J45" s="12">
        <v>5800</v>
      </c>
      <c r="K45" s="12">
        <v>87000</v>
      </c>
      <c r="L45" s="10"/>
      <c r="M45" s="10"/>
      <c r="N45" s="12">
        <v>87000</v>
      </c>
      <c r="O45" s="12">
        <v>3731.54</v>
      </c>
      <c r="P45" s="12">
        <v>55973.1</v>
      </c>
      <c r="Q45" s="12">
        <v>31026.9</v>
      </c>
      <c r="R45" s="10"/>
    </row>
    <row r="46" spans="1:18" x14ac:dyDescent="0.3">
      <c r="A46" s="8">
        <v>46119</v>
      </c>
      <c r="B46" s="10"/>
      <c r="D46" s="11" t="s">
        <v>71</v>
      </c>
      <c r="E46" s="11" t="s">
        <v>1216</v>
      </c>
      <c r="F46" s="10"/>
      <c r="G46" s="11" t="s">
        <v>940</v>
      </c>
      <c r="H46" s="11">
        <v>1</v>
      </c>
      <c r="I46" s="11" t="s">
        <v>74</v>
      </c>
      <c r="J46" s="12">
        <v>300</v>
      </c>
      <c r="K46" s="12">
        <v>300</v>
      </c>
      <c r="L46" s="12">
        <v>267.86</v>
      </c>
      <c r="M46" s="12">
        <v>32.14</v>
      </c>
      <c r="N46" s="10"/>
      <c r="O46" s="12">
        <v>84.68</v>
      </c>
      <c r="P46" s="12">
        <v>84.68</v>
      </c>
      <c r="Q46" s="12">
        <v>215.32</v>
      </c>
      <c r="R46" s="10"/>
    </row>
    <row r="47" spans="1:18" x14ac:dyDescent="0.3">
      <c r="A47" s="8">
        <v>46119</v>
      </c>
      <c r="B47" s="10"/>
      <c r="D47" s="11" t="s">
        <v>71</v>
      </c>
      <c r="E47" s="11" t="s">
        <v>1117</v>
      </c>
      <c r="F47" s="10"/>
      <c r="G47" s="11" t="s">
        <v>907</v>
      </c>
      <c r="H47" s="11">
        <v>1</v>
      </c>
      <c r="I47" s="11" t="s">
        <v>100</v>
      </c>
      <c r="J47" s="12">
        <v>6600</v>
      </c>
      <c r="K47" s="12">
        <v>6600</v>
      </c>
      <c r="L47" s="10"/>
      <c r="M47" s="10"/>
      <c r="N47" s="12">
        <v>6600</v>
      </c>
      <c r="O47" s="12">
        <v>3731.54</v>
      </c>
      <c r="P47" s="12">
        <v>3731.54</v>
      </c>
      <c r="Q47" s="12">
        <v>2868.46</v>
      </c>
      <c r="R47" s="11" t="s">
        <v>52</v>
      </c>
    </row>
    <row r="48" spans="1:18" x14ac:dyDescent="0.3">
      <c r="A48" s="8">
        <v>46119</v>
      </c>
      <c r="B48" s="10"/>
      <c r="D48" s="11" t="s">
        <v>71</v>
      </c>
      <c r="E48" s="11" t="s">
        <v>1217</v>
      </c>
      <c r="F48" s="10"/>
      <c r="G48" s="11" t="s">
        <v>542</v>
      </c>
      <c r="H48" s="11">
        <v>1</v>
      </c>
      <c r="I48" s="11" t="s">
        <v>188</v>
      </c>
      <c r="J48" s="12">
        <v>2240</v>
      </c>
      <c r="K48" s="12">
        <v>2240</v>
      </c>
      <c r="L48" s="12">
        <v>2238.8000000000002</v>
      </c>
      <c r="M48" s="12">
        <v>268.66000000000003</v>
      </c>
      <c r="N48" s="10"/>
      <c r="O48" s="12">
        <v>1359.99</v>
      </c>
      <c r="P48" s="12">
        <v>1359.99</v>
      </c>
      <c r="Q48" s="12">
        <v>880.01</v>
      </c>
      <c r="R48" s="11" t="s">
        <v>52</v>
      </c>
    </row>
    <row r="49" spans="1:18" x14ac:dyDescent="0.3">
      <c r="A49" s="8">
        <v>46119</v>
      </c>
      <c r="B49" s="10"/>
      <c r="D49" s="11" t="s">
        <v>71</v>
      </c>
      <c r="E49" s="11" t="s">
        <v>1218</v>
      </c>
      <c r="F49" s="10"/>
      <c r="G49" s="11" t="s">
        <v>907</v>
      </c>
      <c r="H49" s="11">
        <v>2</v>
      </c>
      <c r="I49" s="11" t="s">
        <v>77</v>
      </c>
      <c r="J49" s="12">
        <v>350</v>
      </c>
      <c r="K49" s="12">
        <v>700</v>
      </c>
      <c r="L49" s="10"/>
      <c r="M49" s="10"/>
      <c r="N49" s="12">
        <v>700</v>
      </c>
      <c r="O49" s="12">
        <v>174.49</v>
      </c>
      <c r="P49" s="12">
        <v>348.98</v>
      </c>
      <c r="Q49" s="12">
        <v>351.02</v>
      </c>
      <c r="R49" s="10"/>
    </row>
    <row r="50" spans="1:18" x14ac:dyDescent="0.3">
      <c r="A50" s="8">
        <v>46119</v>
      </c>
      <c r="B50" s="10"/>
      <c r="D50" s="11" t="s">
        <v>71</v>
      </c>
      <c r="E50" s="11" t="s">
        <v>1219</v>
      </c>
      <c r="F50" s="10"/>
      <c r="G50" s="11" t="s">
        <v>907</v>
      </c>
      <c r="H50" s="11">
        <v>1</v>
      </c>
      <c r="I50" s="11" t="s">
        <v>100</v>
      </c>
      <c r="J50" s="12">
        <v>6600</v>
      </c>
      <c r="K50" s="12">
        <v>6600</v>
      </c>
      <c r="L50" s="10"/>
      <c r="M50" s="10"/>
      <c r="N50" s="12">
        <v>6600</v>
      </c>
      <c r="O50" s="12">
        <v>3731.54</v>
      </c>
      <c r="P50" s="12">
        <v>3731.54</v>
      </c>
      <c r="Q50" s="12">
        <v>2868.46</v>
      </c>
      <c r="R50" s="11" t="s">
        <v>52</v>
      </c>
    </row>
    <row r="51" spans="1:18" x14ac:dyDescent="0.3">
      <c r="A51" s="8">
        <v>46119</v>
      </c>
      <c r="B51" s="10"/>
      <c r="D51" s="11" t="s">
        <v>915</v>
      </c>
      <c r="E51" s="11" t="s">
        <v>640</v>
      </c>
      <c r="F51" s="10"/>
      <c r="G51" s="11" t="s">
        <v>907</v>
      </c>
      <c r="H51" s="11">
        <v>1</v>
      </c>
      <c r="I51" s="11" t="s">
        <v>77</v>
      </c>
      <c r="J51" s="12">
        <v>350</v>
      </c>
      <c r="K51" s="12">
        <v>350</v>
      </c>
      <c r="L51" s="10"/>
      <c r="M51" s="10"/>
      <c r="N51" s="12">
        <v>350</v>
      </c>
      <c r="O51" s="12">
        <v>174.49</v>
      </c>
      <c r="P51" s="12">
        <v>174.49</v>
      </c>
      <c r="Q51" s="12">
        <v>175.51</v>
      </c>
      <c r="R51" s="10"/>
    </row>
    <row r="52" spans="1:18" x14ac:dyDescent="0.3">
      <c r="A52" s="8">
        <v>46119</v>
      </c>
      <c r="B52" s="10"/>
      <c r="D52" s="11" t="s">
        <v>71</v>
      </c>
      <c r="E52" s="11" t="s">
        <v>1038</v>
      </c>
      <c r="F52" s="10"/>
      <c r="G52" s="11" t="s">
        <v>907</v>
      </c>
      <c r="H52" s="11">
        <v>1</v>
      </c>
      <c r="I52" s="11" t="s">
        <v>77</v>
      </c>
      <c r="J52" s="12">
        <v>350</v>
      </c>
      <c r="K52" s="12">
        <v>350</v>
      </c>
      <c r="L52" s="10"/>
      <c r="M52" s="10"/>
      <c r="N52" s="12">
        <v>350</v>
      </c>
      <c r="O52" s="12">
        <v>174.49</v>
      </c>
      <c r="P52" s="12">
        <v>174.49</v>
      </c>
      <c r="Q52" s="12">
        <v>175.51</v>
      </c>
      <c r="R52" s="11" t="s">
        <v>52</v>
      </c>
    </row>
    <row r="53" spans="1:18" x14ac:dyDescent="0.3">
      <c r="A53" s="8">
        <v>46121</v>
      </c>
      <c r="B53" s="10"/>
      <c r="D53" s="11" t="s">
        <v>71</v>
      </c>
      <c r="E53" s="11" t="s">
        <v>1219</v>
      </c>
      <c r="F53" s="10"/>
      <c r="G53" s="11" t="s">
        <v>907</v>
      </c>
      <c r="H53" s="11">
        <v>1</v>
      </c>
      <c r="I53" s="11" t="s">
        <v>100</v>
      </c>
      <c r="J53" s="12">
        <v>6600</v>
      </c>
      <c r="K53" s="12">
        <v>6600</v>
      </c>
      <c r="L53" s="10"/>
      <c r="M53" s="10"/>
      <c r="N53" s="12">
        <v>6600</v>
      </c>
      <c r="O53" s="12">
        <v>3731.54</v>
      </c>
      <c r="P53" s="12">
        <v>3731.54</v>
      </c>
      <c r="Q53" s="12">
        <v>2868.46</v>
      </c>
      <c r="R53" s="11" t="s">
        <v>52</v>
      </c>
    </row>
    <row r="54" spans="1:18" x14ac:dyDescent="0.3">
      <c r="A54" s="8">
        <v>46121</v>
      </c>
      <c r="B54" s="10"/>
      <c r="D54" s="11" t="s">
        <v>71</v>
      </c>
      <c r="E54" s="11" t="s">
        <v>1220</v>
      </c>
      <c r="F54" s="10"/>
      <c r="G54" s="11" t="s">
        <v>907</v>
      </c>
      <c r="H54" s="11">
        <v>2</v>
      </c>
      <c r="I54" s="11" t="s">
        <v>77</v>
      </c>
      <c r="J54" s="12">
        <v>350</v>
      </c>
      <c r="K54" s="12">
        <v>700</v>
      </c>
      <c r="L54" s="10"/>
      <c r="M54" s="10"/>
      <c r="N54" s="12">
        <v>700</v>
      </c>
      <c r="O54" s="12">
        <v>173.14</v>
      </c>
      <c r="P54" s="12">
        <v>346.28</v>
      </c>
      <c r="Q54" s="12">
        <v>353.72</v>
      </c>
      <c r="R54" s="11" t="s">
        <v>52</v>
      </c>
    </row>
    <row r="55" spans="1:18" x14ac:dyDescent="0.3">
      <c r="A55" s="8">
        <v>46121</v>
      </c>
      <c r="B55" s="10"/>
      <c r="D55" s="11" t="s">
        <v>71</v>
      </c>
      <c r="E55" s="11" t="s">
        <v>1220</v>
      </c>
      <c r="F55" s="10"/>
      <c r="G55" s="11" t="s">
        <v>907</v>
      </c>
      <c r="H55" s="11">
        <v>3</v>
      </c>
      <c r="I55" s="11" t="s">
        <v>77</v>
      </c>
      <c r="J55" s="12">
        <v>350</v>
      </c>
      <c r="K55" s="12">
        <v>1050</v>
      </c>
      <c r="L55" s="10"/>
      <c r="M55" s="10"/>
      <c r="N55" s="12">
        <v>1050</v>
      </c>
      <c r="O55" s="12">
        <v>173.14</v>
      </c>
      <c r="P55" s="12">
        <v>519.41999999999996</v>
      </c>
      <c r="Q55" s="12">
        <v>530.58000000000004</v>
      </c>
      <c r="R55" s="11" t="s">
        <v>52</v>
      </c>
    </row>
    <row r="56" spans="1:18" x14ac:dyDescent="0.3">
      <c r="A56" s="8">
        <v>46121</v>
      </c>
      <c r="B56" s="10"/>
      <c r="D56" s="11" t="s">
        <v>915</v>
      </c>
      <c r="E56" s="11" t="s">
        <v>1075</v>
      </c>
      <c r="F56" s="10"/>
      <c r="G56" s="11" t="s">
        <v>907</v>
      </c>
      <c r="H56" s="11">
        <v>50</v>
      </c>
      <c r="I56" s="11" t="s">
        <v>91</v>
      </c>
      <c r="J56" s="12">
        <v>4750</v>
      </c>
      <c r="K56" s="12">
        <v>237500</v>
      </c>
      <c r="L56" s="10"/>
      <c r="M56" s="10"/>
      <c r="N56" s="12">
        <v>237500</v>
      </c>
      <c r="O56" s="12">
        <v>3731.54</v>
      </c>
      <c r="P56" s="12">
        <v>186577</v>
      </c>
      <c r="Q56" s="12">
        <v>50923</v>
      </c>
      <c r="R56" s="10"/>
    </row>
    <row r="57" spans="1:18" x14ac:dyDescent="0.3">
      <c r="A57" s="8">
        <v>46121</v>
      </c>
      <c r="B57" s="10"/>
      <c r="D57" s="11" t="s">
        <v>89</v>
      </c>
      <c r="E57" s="11" t="s">
        <v>952</v>
      </c>
      <c r="F57" s="10"/>
      <c r="G57" s="11" t="s">
        <v>907</v>
      </c>
      <c r="H57" s="11">
        <v>160</v>
      </c>
      <c r="I57" s="11" t="s">
        <v>77</v>
      </c>
      <c r="J57" s="12">
        <v>250</v>
      </c>
      <c r="K57" s="12">
        <v>40000</v>
      </c>
      <c r="L57" s="10"/>
      <c r="M57" s="10"/>
      <c r="N57" s="12">
        <v>40000</v>
      </c>
      <c r="O57" s="12">
        <v>173.14</v>
      </c>
      <c r="P57" s="12">
        <v>27702.400000000001</v>
      </c>
      <c r="Q57" s="12">
        <v>12297.6</v>
      </c>
      <c r="R57" s="10"/>
    </row>
    <row r="58" spans="1:18" x14ac:dyDescent="0.3">
      <c r="A58" s="8">
        <v>46122</v>
      </c>
      <c r="B58" s="10"/>
      <c r="D58" s="11" t="s">
        <v>71</v>
      </c>
      <c r="E58" s="11" t="s">
        <v>997</v>
      </c>
      <c r="F58" s="10"/>
      <c r="G58" s="11" t="s">
        <v>625</v>
      </c>
      <c r="H58" s="11">
        <v>1</v>
      </c>
      <c r="I58" s="11" t="s">
        <v>74</v>
      </c>
      <c r="J58" s="12">
        <v>3224</v>
      </c>
      <c r="K58" s="12">
        <v>3224</v>
      </c>
      <c r="L58" s="12">
        <v>2878.57</v>
      </c>
      <c r="M58" s="12">
        <v>345.43</v>
      </c>
      <c r="N58" s="10"/>
      <c r="O58" s="12">
        <v>2210</v>
      </c>
      <c r="P58" s="12">
        <v>2210</v>
      </c>
      <c r="Q58" s="12">
        <v>1014</v>
      </c>
      <c r="R58" s="11" t="s">
        <v>52</v>
      </c>
    </row>
    <row r="59" spans="1:18" x14ac:dyDescent="0.3">
      <c r="A59" s="8">
        <v>46122</v>
      </c>
      <c r="B59" s="10"/>
      <c r="D59" s="11" t="s">
        <v>71</v>
      </c>
      <c r="E59" s="11" t="s">
        <v>918</v>
      </c>
      <c r="F59" s="10"/>
      <c r="G59" s="11" t="s">
        <v>907</v>
      </c>
      <c r="H59" s="11">
        <v>3</v>
      </c>
      <c r="I59" s="11" t="s">
        <v>77</v>
      </c>
      <c r="J59" s="12">
        <v>350</v>
      </c>
      <c r="K59" s="12">
        <v>1050</v>
      </c>
      <c r="L59" s="10"/>
      <c r="M59" s="10"/>
      <c r="N59" s="12">
        <v>1050</v>
      </c>
      <c r="O59" s="12">
        <v>173.14</v>
      </c>
      <c r="P59" s="12">
        <v>519.41999999999996</v>
      </c>
      <c r="Q59" s="12">
        <v>530.58000000000004</v>
      </c>
      <c r="R59" s="11" t="s">
        <v>52</v>
      </c>
    </row>
    <row r="60" spans="1:18" x14ac:dyDescent="0.3">
      <c r="A60" s="8">
        <v>46122</v>
      </c>
      <c r="B60" s="10"/>
      <c r="D60" s="11" t="s">
        <v>71</v>
      </c>
      <c r="E60" s="11" t="s">
        <v>1221</v>
      </c>
      <c r="F60" s="10"/>
      <c r="G60" s="11" t="s">
        <v>907</v>
      </c>
      <c r="H60" s="11">
        <v>4</v>
      </c>
      <c r="I60" s="11" t="s">
        <v>77</v>
      </c>
      <c r="J60" s="12">
        <v>350</v>
      </c>
      <c r="K60" s="12">
        <v>1400</v>
      </c>
      <c r="L60" s="10"/>
      <c r="M60" s="10"/>
      <c r="N60" s="12">
        <v>1400</v>
      </c>
      <c r="O60" s="12">
        <v>173.14</v>
      </c>
      <c r="P60" s="12">
        <v>692.55</v>
      </c>
      <c r="Q60" s="12">
        <v>707.45</v>
      </c>
      <c r="R60" s="11" t="s">
        <v>52</v>
      </c>
    </row>
    <row r="61" spans="1:18" x14ac:dyDescent="0.3">
      <c r="A61" s="8">
        <v>46122</v>
      </c>
      <c r="B61" s="10"/>
      <c r="D61" s="11" t="s">
        <v>71</v>
      </c>
      <c r="E61" s="11" t="s">
        <v>1222</v>
      </c>
      <c r="F61" s="10"/>
      <c r="G61" s="11" t="s">
        <v>73</v>
      </c>
      <c r="H61" s="11">
        <v>6</v>
      </c>
      <c r="I61" s="11" t="s">
        <v>74</v>
      </c>
      <c r="J61" s="12">
        <v>690</v>
      </c>
      <c r="K61" s="12">
        <v>4140</v>
      </c>
      <c r="L61" s="12">
        <v>3696.43</v>
      </c>
      <c r="M61" s="12">
        <v>443.57</v>
      </c>
      <c r="N61" s="10"/>
      <c r="O61" s="12">
        <v>395.83</v>
      </c>
      <c r="P61" s="12">
        <v>2374.98</v>
      </c>
      <c r="Q61" s="12">
        <v>1765.02</v>
      </c>
      <c r="R61" s="10"/>
    </row>
    <row r="62" spans="1:18" x14ac:dyDescent="0.3">
      <c r="A62" s="8">
        <v>46122</v>
      </c>
      <c r="B62" s="10"/>
      <c r="D62" s="11" t="s">
        <v>71</v>
      </c>
      <c r="E62" s="11" t="s">
        <v>1222</v>
      </c>
      <c r="F62" s="10"/>
      <c r="G62" s="11" t="s">
        <v>73</v>
      </c>
      <c r="H62" s="11">
        <v>3</v>
      </c>
      <c r="I62" s="11" t="s">
        <v>74</v>
      </c>
      <c r="J62" s="12">
        <v>690</v>
      </c>
      <c r="K62" s="12">
        <v>2070</v>
      </c>
      <c r="L62" s="12">
        <v>1848.21</v>
      </c>
      <c r="M62" s="12">
        <v>221.79</v>
      </c>
      <c r="N62" s="10"/>
      <c r="O62" s="12">
        <v>395.83</v>
      </c>
      <c r="P62" s="12">
        <v>1187.49</v>
      </c>
      <c r="Q62" s="12">
        <v>882.51</v>
      </c>
      <c r="R62" s="10"/>
    </row>
    <row r="63" spans="1:18" x14ac:dyDescent="0.3">
      <c r="A63" s="8">
        <v>46122</v>
      </c>
      <c r="B63" s="10"/>
      <c r="D63" s="11" t="s">
        <v>71</v>
      </c>
      <c r="E63" s="11" t="s">
        <v>1223</v>
      </c>
      <c r="F63" s="10"/>
      <c r="G63" s="11" t="s">
        <v>73</v>
      </c>
      <c r="H63" s="11">
        <v>4</v>
      </c>
      <c r="I63" s="11" t="s">
        <v>74</v>
      </c>
      <c r="J63" s="12">
        <v>690</v>
      </c>
      <c r="K63" s="12">
        <v>2760</v>
      </c>
      <c r="L63" s="12">
        <v>2464.29</v>
      </c>
      <c r="M63" s="12">
        <v>295.70999999999998</v>
      </c>
      <c r="N63" s="10"/>
      <c r="O63" s="12">
        <v>395.83</v>
      </c>
      <c r="P63" s="12">
        <v>1583.32</v>
      </c>
      <c r="Q63" s="12">
        <v>1176.68</v>
      </c>
      <c r="R63" s="10"/>
    </row>
    <row r="64" spans="1:18" x14ac:dyDescent="0.3">
      <c r="A64" s="8">
        <v>46122</v>
      </c>
      <c r="B64" s="10"/>
      <c r="D64" s="11" t="s">
        <v>71</v>
      </c>
      <c r="E64" s="11" t="s">
        <v>1224</v>
      </c>
      <c r="F64" s="10"/>
      <c r="G64" s="11" t="s">
        <v>73</v>
      </c>
      <c r="H64" s="11">
        <v>1</v>
      </c>
      <c r="I64" s="11" t="s">
        <v>74</v>
      </c>
      <c r="J64" s="12">
        <v>690</v>
      </c>
      <c r="K64" s="12">
        <v>690</v>
      </c>
      <c r="L64" s="12">
        <v>616.07000000000005</v>
      </c>
      <c r="M64" s="12">
        <v>73.930000000000007</v>
      </c>
      <c r="N64" s="10"/>
      <c r="O64" s="12">
        <v>395.83</v>
      </c>
      <c r="P64" s="12">
        <v>395.83</v>
      </c>
      <c r="Q64" s="12">
        <v>294.17</v>
      </c>
      <c r="R64" s="10"/>
    </row>
    <row r="65" spans="1:18" x14ac:dyDescent="0.3">
      <c r="A65" s="8">
        <v>46122</v>
      </c>
      <c r="B65" s="11" t="s">
        <v>641</v>
      </c>
      <c r="D65" s="11" t="s">
        <v>1225</v>
      </c>
      <c r="E65" s="11" t="s">
        <v>210</v>
      </c>
      <c r="F65" s="11" t="s">
        <v>1226</v>
      </c>
      <c r="G65" t="s">
        <v>1227</v>
      </c>
      <c r="H65" s="11">
        <v>2</v>
      </c>
      <c r="I65" s="11" t="s">
        <v>86</v>
      </c>
      <c r="J65" s="12">
        <v>1000</v>
      </c>
      <c r="K65" s="12">
        <v>2000</v>
      </c>
      <c r="L65" s="12">
        <v>1998.8</v>
      </c>
      <c r="M65" s="12">
        <v>239.86</v>
      </c>
      <c r="N65" s="11" t="s">
        <v>922</v>
      </c>
      <c r="O65" s="12">
        <v>649.47</v>
      </c>
      <c r="P65" s="12">
        <v>1298.94</v>
      </c>
      <c r="Q65" s="12">
        <v>701.06</v>
      </c>
      <c r="R65" s="11" t="s">
        <v>52</v>
      </c>
    </row>
    <row r="66" spans="1:18" x14ac:dyDescent="0.3">
      <c r="A66" s="8">
        <v>46122</v>
      </c>
      <c r="B66" s="10"/>
      <c r="D66" s="10"/>
      <c r="E66" s="11" t="s">
        <v>1228</v>
      </c>
      <c r="F66" s="10"/>
      <c r="G66" s="11" t="s">
        <v>907</v>
      </c>
      <c r="H66" s="11">
        <v>32</v>
      </c>
      <c r="I66" s="11" t="s">
        <v>77</v>
      </c>
      <c r="J66" s="12">
        <v>280</v>
      </c>
      <c r="K66" s="12">
        <v>8960</v>
      </c>
      <c r="L66" s="10"/>
      <c r="M66" s="10"/>
      <c r="N66" s="12">
        <v>8960</v>
      </c>
      <c r="O66" s="12">
        <v>174.49</v>
      </c>
      <c r="P66" s="12">
        <v>5583.68</v>
      </c>
      <c r="Q66" s="12">
        <v>3376.32</v>
      </c>
      <c r="R66" s="11" t="s">
        <v>642</v>
      </c>
    </row>
    <row r="67" spans="1:18" x14ac:dyDescent="0.3">
      <c r="A67" s="8">
        <v>46123</v>
      </c>
      <c r="B67" s="10"/>
      <c r="D67" s="11" t="s">
        <v>71</v>
      </c>
      <c r="E67" s="11" t="s">
        <v>1229</v>
      </c>
      <c r="F67" s="10"/>
      <c r="G67" s="11" t="s">
        <v>907</v>
      </c>
      <c r="H67" s="11">
        <v>1</v>
      </c>
      <c r="I67" s="11" t="s">
        <v>77</v>
      </c>
      <c r="J67" s="12">
        <v>350</v>
      </c>
      <c r="K67" s="12">
        <v>350</v>
      </c>
      <c r="L67" s="10"/>
      <c r="M67" s="10"/>
      <c r="N67" s="12">
        <v>350</v>
      </c>
      <c r="O67" s="12">
        <v>173.14</v>
      </c>
      <c r="P67" s="12">
        <v>173.14</v>
      </c>
      <c r="Q67" s="12">
        <v>176.86</v>
      </c>
      <c r="R67" s="11" t="s">
        <v>52</v>
      </c>
    </row>
    <row r="68" spans="1:18" x14ac:dyDescent="0.3">
      <c r="A68" s="8">
        <v>46123</v>
      </c>
      <c r="B68" s="10"/>
      <c r="D68" s="11" t="s">
        <v>71</v>
      </c>
      <c r="E68" s="11" t="s">
        <v>1230</v>
      </c>
      <c r="F68" s="10"/>
      <c r="G68" s="11" t="s">
        <v>907</v>
      </c>
      <c r="H68" s="11">
        <v>1</v>
      </c>
      <c r="I68" s="11" t="s">
        <v>77</v>
      </c>
      <c r="J68" s="12">
        <v>350</v>
      </c>
      <c r="K68" s="12">
        <v>350</v>
      </c>
      <c r="L68" s="10"/>
      <c r="M68" s="10"/>
      <c r="N68" s="12">
        <v>350</v>
      </c>
      <c r="O68" s="12">
        <v>173.14</v>
      </c>
      <c r="P68" s="12">
        <v>173.14</v>
      </c>
      <c r="Q68" s="12">
        <v>176.86</v>
      </c>
      <c r="R68" s="11" t="s">
        <v>52</v>
      </c>
    </row>
    <row r="69" spans="1:18" x14ac:dyDescent="0.3">
      <c r="A69" s="8">
        <v>46123</v>
      </c>
      <c r="B69" s="10"/>
      <c r="D69" s="11" t="s">
        <v>915</v>
      </c>
      <c r="E69" s="11" t="s">
        <v>635</v>
      </c>
      <c r="F69" s="10"/>
      <c r="G69" s="11" t="s">
        <v>907</v>
      </c>
      <c r="H69" s="11">
        <v>32</v>
      </c>
      <c r="I69" s="11" t="s">
        <v>77</v>
      </c>
      <c r="J69" s="12">
        <v>280</v>
      </c>
      <c r="K69" s="12">
        <v>8960</v>
      </c>
      <c r="L69" s="10"/>
      <c r="M69" s="10"/>
      <c r="N69" s="12">
        <v>8960</v>
      </c>
      <c r="O69" s="12">
        <v>173.14</v>
      </c>
      <c r="P69" s="12">
        <v>5540.43</v>
      </c>
      <c r="Q69" s="12">
        <v>3419.57</v>
      </c>
      <c r="R69" s="11" t="s">
        <v>52</v>
      </c>
    </row>
    <row r="70" spans="1:18" x14ac:dyDescent="0.3">
      <c r="A70" s="8">
        <v>46125</v>
      </c>
      <c r="B70" s="10"/>
      <c r="D70" s="11" t="s">
        <v>71</v>
      </c>
      <c r="E70" s="11" t="s">
        <v>1231</v>
      </c>
      <c r="F70" s="10"/>
      <c r="G70" s="11" t="s">
        <v>907</v>
      </c>
      <c r="H70" s="11">
        <v>1</v>
      </c>
      <c r="I70" s="11" t="s">
        <v>77</v>
      </c>
      <c r="J70" s="12">
        <v>350</v>
      </c>
      <c r="K70" s="12">
        <v>350</v>
      </c>
      <c r="L70" s="10"/>
      <c r="M70" s="10"/>
      <c r="N70" s="12">
        <v>350</v>
      </c>
      <c r="O70" s="12">
        <v>173.14</v>
      </c>
      <c r="P70" s="12">
        <v>173.14</v>
      </c>
      <c r="Q70" s="12">
        <v>176.86</v>
      </c>
      <c r="R70" s="11" t="s">
        <v>52</v>
      </c>
    </row>
    <row r="71" spans="1:18" x14ac:dyDescent="0.3">
      <c r="A71" s="8">
        <v>46125</v>
      </c>
      <c r="B71" s="10"/>
      <c r="D71" s="11" t="s">
        <v>71</v>
      </c>
      <c r="E71" s="11" t="s">
        <v>1107</v>
      </c>
      <c r="F71" s="10"/>
      <c r="G71" s="11" t="s">
        <v>907</v>
      </c>
      <c r="H71" s="11">
        <v>1</v>
      </c>
      <c r="I71" s="11" t="s">
        <v>77</v>
      </c>
      <c r="J71" s="12">
        <v>350</v>
      </c>
      <c r="K71" s="12">
        <v>350</v>
      </c>
      <c r="L71" s="10"/>
      <c r="M71" s="10"/>
      <c r="N71" s="12">
        <v>350</v>
      </c>
      <c r="O71" s="12">
        <v>173.14</v>
      </c>
      <c r="P71" s="12">
        <v>173.14</v>
      </c>
      <c r="Q71" s="12">
        <v>176.86</v>
      </c>
      <c r="R71" s="11" t="s">
        <v>52</v>
      </c>
    </row>
    <row r="72" spans="1:18" x14ac:dyDescent="0.3">
      <c r="A72" s="8">
        <v>46125</v>
      </c>
      <c r="B72" s="10"/>
      <c r="D72" s="11" t="s">
        <v>71</v>
      </c>
      <c r="E72" s="11" t="s">
        <v>1232</v>
      </c>
      <c r="F72" s="10"/>
      <c r="G72" s="11" t="s">
        <v>907</v>
      </c>
      <c r="H72" s="11">
        <v>1</v>
      </c>
      <c r="I72" s="11" t="s">
        <v>77</v>
      </c>
      <c r="J72" s="12">
        <v>350</v>
      </c>
      <c r="K72" s="12">
        <v>350</v>
      </c>
      <c r="L72" s="10"/>
      <c r="M72" s="10"/>
      <c r="N72" s="12">
        <v>350</v>
      </c>
      <c r="O72" s="12">
        <v>173.14</v>
      </c>
      <c r="P72" s="12">
        <v>173.14</v>
      </c>
      <c r="Q72" s="12">
        <v>176.86</v>
      </c>
      <c r="R72" s="11" t="s">
        <v>52</v>
      </c>
    </row>
    <row r="73" spans="1:18" x14ac:dyDescent="0.3">
      <c r="A73" s="8">
        <v>46125</v>
      </c>
      <c r="B73" s="10"/>
      <c r="D73" s="11" t="s">
        <v>71</v>
      </c>
      <c r="E73" s="11" t="s">
        <v>1233</v>
      </c>
      <c r="F73" s="10"/>
      <c r="G73" s="11" t="s">
        <v>907</v>
      </c>
      <c r="H73" s="11">
        <v>2</v>
      </c>
      <c r="I73" s="11" t="s">
        <v>77</v>
      </c>
      <c r="J73" s="12">
        <v>350</v>
      </c>
      <c r="K73" s="12">
        <v>700</v>
      </c>
      <c r="L73" s="10"/>
      <c r="M73" s="10"/>
      <c r="N73" s="12">
        <v>700</v>
      </c>
      <c r="O73" s="12">
        <v>173.14</v>
      </c>
      <c r="P73" s="12">
        <v>346.28</v>
      </c>
      <c r="Q73" s="12">
        <v>353.72</v>
      </c>
      <c r="R73" s="11" t="s">
        <v>52</v>
      </c>
    </row>
    <row r="74" spans="1:18" x14ac:dyDescent="0.3">
      <c r="A74" s="8">
        <v>46125</v>
      </c>
      <c r="B74" s="10"/>
      <c r="D74" s="11" t="s">
        <v>71</v>
      </c>
      <c r="E74" s="11" t="s">
        <v>1234</v>
      </c>
      <c r="F74" s="10"/>
      <c r="G74" s="11" t="s">
        <v>907</v>
      </c>
      <c r="H74" s="11">
        <v>3</v>
      </c>
      <c r="I74" s="11" t="s">
        <v>77</v>
      </c>
      <c r="J74" s="12">
        <v>350</v>
      </c>
      <c r="K74" s="12">
        <v>1050</v>
      </c>
      <c r="L74" s="10"/>
      <c r="M74" s="10"/>
      <c r="N74" s="12">
        <v>1050</v>
      </c>
      <c r="O74" s="12">
        <v>173.14</v>
      </c>
      <c r="P74" s="12">
        <v>519.41999999999996</v>
      </c>
      <c r="Q74" s="12">
        <v>530.58000000000004</v>
      </c>
      <c r="R74" s="11" t="s">
        <v>52</v>
      </c>
    </row>
    <row r="75" spans="1:18" x14ac:dyDescent="0.3">
      <c r="A75" s="8">
        <v>46125</v>
      </c>
      <c r="B75" s="10"/>
      <c r="D75" s="11" t="s">
        <v>71</v>
      </c>
      <c r="E75" s="11" t="s">
        <v>1235</v>
      </c>
      <c r="F75" s="10"/>
      <c r="G75" s="11" t="s">
        <v>907</v>
      </c>
      <c r="H75" s="11">
        <v>4</v>
      </c>
      <c r="I75" s="11" t="s">
        <v>77</v>
      </c>
      <c r="J75" s="12">
        <v>350</v>
      </c>
      <c r="K75" s="12">
        <v>1400</v>
      </c>
      <c r="L75" s="10"/>
      <c r="M75" s="10"/>
      <c r="N75" s="12">
        <v>1400</v>
      </c>
      <c r="O75" s="12">
        <v>173.14</v>
      </c>
      <c r="P75" s="12">
        <v>692.55</v>
      </c>
      <c r="Q75" s="12">
        <v>707.45</v>
      </c>
      <c r="R75" s="11" t="s">
        <v>52</v>
      </c>
    </row>
    <row r="76" spans="1:18" x14ac:dyDescent="0.3">
      <c r="A76" s="8">
        <v>46125</v>
      </c>
      <c r="B76" s="10"/>
      <c r="D76" s="11" t="s">
        <v>71</v>
      </c>
      <c r="E76" s="11" t="s">
        <v>1235</v>
      </c>
      <c r="F76" s="10"/>
      <c r="G76" s="11" t="s">
        <v>973</v>
      </c>
      <c r="H76" s="11">
        <v>2</v>
      </c>
      <c r="I76" s="11" t="s">
        <v>268</v>
      </c>
      <c r="J76" s="12">
        <v>300</v>
      </c>
      <c r="K76" s="12">
        <v>600</v>
      </c>
      <c r="L76" s="12">
        <v>267.86</v>
      </c>
      <c r="M76" s="12">
        <v>32.14</v>
      </c>
      <c r="N76" s="10"/>
      <c r="O76" s="12">
        <v>39.200000000000003</v>
      </c>
      <c r="P76" s="12">
        <v>78.400000000000006</v>
      </c>
      <c r="Q76" s="12">
        <v>521.6</v>
      </c>
      <c r="R76" s="11" t="s">
        <v>52</v>
      </c>
    </row>
    <row r="77" spans="1:18" x14ac:dyDescent="0.3">
      <c r="A77" s="8">
        <v>46125</v>
      </c>
      <c r="B77" s="10"/>
      <c r="D77" s="11" t="s">
        <v>71</v>
      </c>
      <c r="E77" s="11" t="s">
        <v>1235</v>
      </c>
      <c r="F77" s="10"/>
      <c r="G77" t="s">
        <v>975</v>
      </c>
      <c r="H77" s="11">
        <v>2</v>
      </c>
      <c r="I77" s="11" t="s">
        <v>268</v>
      </c>
      <c r="J77" s="12">
        <v>150</v>
      </c>
      <c r="K77" s="12">
        <v>300</v>
      </c>
      <c r="L77" s="12">
        <v>267.86</v>
      </c>
      <c r="M77" s="12">
        <v>32.14</v>
      </c>
      <c r="N77" s="10"/>
      <c r="O77" s="12">
        <v>7.28</v>
      </c>
      <c r="P77" s="12">
        <v>14.56</v>
      </c>
      <c r="Q77" s="12">
        <v>285.44</v>
      </c>
      <c r="R77" s="11" t="s">
        <v>52</v>
      </c>
    </row>
    <row r="78" spans="1:18" x14ac:dyDescent="0.3">
      <c r="A78" s="27">
        <v>46125</v>
      </c>
      <c r="B78" s="10"/>
      <c r="D78" s="28" t="s">
        <v>71</v>
      </c>
      <c r="E78" s="28" t="s">
        <v>1236</v>
      </c>
      <c r="F78" s="10"/>
      <c r="G78" s="11" t="s">
        <v>940</v>
      </c>
      <c r="H78" s="28">
        <v>1</v>
      </c>
      <c r="I78" s="28" t="s">
        <v>74</v>
      </c>
      <c r="J78" s="28">
        <v>300</v>
      </c>
      <c r="K78" s="28">
        <v>300</v>
      </c>
      <c r="L78" s="28">
        <v>267.85714285714283</v>
      </c>
      <c r="M78" s="28">
        <v>32.142857142857139</v>
      </c>
      <c r="N78" s="10"/>
      <c r="O78" s="28">
        <v>84.68</v>
      </c>
      <c r="P78" s="28">
        <v>84.68</v>
      </c>
      <c r="Q78" s="28">
        <v>215.32</v>
      </c>
      <c r="R78" s="28" t="s">
        <v>643</v>
      </c>
    </row>
    <row r="79" spans="1:18" x14ac:dyDescent="0.3">
      <c r="A79" s="8">
        <v>46125</v>
      </c>
      <c r="B79" s="10"/>
      <c r="D79" s="11" t="s">
        <v>71</v>
      </c>
      <c r="E79" s="11" t="s">
        <v>1237</v>
      </c>
      <c r="F79" s="10"/>
      <c r="G79" s="11" t="s">
        <v>897</v>
      </c>
      <c r="H79" s="11">
        <v>1</v>
      </c>
      <c r="I79" s="11" t="s">
        <v>149</v>
      </c>
      <c r="J79" s="12">
        <v>300</v>
      </c>
      <c r="K79" s="12">
        <v>300</v>
      </c>
      <c r="L79" s="12">
        <v>267.86</v>
      </c>
      <c r="M79" s="12">
        <v>32.14</v>
      </c>
      <c r="N79" s="10"/>
      <c r="O79" s="12">
        <v>119.01</v>
      </c>
      <c r="P79" s="12">
        <v>119.01</v>
      </c>
      <c r="Q79" s="12">
        <v>180.99</v>
      </c>
      <c r="R79" s="11" t="s">
        <v>52</v>
      </c>
    </row>
    <row r="80" spans="1:18" x14ac:dyDescent="0.3">
      <c r="A80" s="8">
        <v>46125</v>
      </c>
      <c r="B80" s="10"/>
      <c r="D80" s="11" t="s">
        <v>71</v>
      </c>
      <c r="E80" s="11" t="s">
        <v>1237</v>
      </c>
      <c r="F80" s="10"/>
      <c r="G80" s="11" t="s">
        <v>980</v>
      </c>
      <c r="H80" s="11">
        <v>4</v>
      </c>
      <c r="I80" s="11" t="s">
        <v>130</v>
      </c>
      <c r="J80" s="12">
        <v>60</v>
      </c>
      <c r="K80" s="12">
        <v>240</v>
      </c>
      <c r="L80" s="12">
        <v>238.8</v>
      </c>
      <c r="M80" s="12">
        <v>28.66</v>
      </c>
      <c r="N80" s="11" t="s">
        <v>922</v>
      </c>
      <c r="O80" s="12">
        <v>20.97</v>
      </c>
      <c r="P80" s="12">
        <v>83.88</v>
      </c>
      <c r="Q80" s="12">
        <v>156.12</v>
      </c>
      <c r="R80" s="11" t="s">
        <v>52</v>
      </c>
    </row>
    <row r="81" spans="1:18" x14ac:dyDescent="0.3">
      <c r="A81" s="8">
        <v>46125</v>
      </c>
      <c r="B81" s="10"/>
      <c r="D81" s="11" t="s">
        <v>71</v>
      </c>
      <c r="E81" s="11" t="s">
        <v>1237</v>
      </c>
      <c r="F81" s="10"/>
      <c r="G81" s="11" t="s">
        <v>899</v>
      </c>
      <c r="H81" s="11">
        <v>1</v>
      </c>
      <c r="I81" s="11" t="s">
        <v>86</v>
      </c>
      <c r="J81" s="12">
        <v>560</v>
      </c>
      <c r="K81" s="12">
        <v>560</v>
      </c>
      <c r="L81" s="12">
        <v>500</v>
      </c>
      <c r="M81" s="12">
        <v>60</v>
      </c>
      <c r="N81" s="10"/>
      <c r="O81" s="12">
        <v>218.56</v>
      </c>
      <c r="P81" s="12">
        <v>218.56</v>
      </c>
      <c r="Q81" s="12">
        <v>341.44</v>
      </c>
      <c r="R81" s="11" t="s">
        <v>52</v>
      </c>
    </row>
    <row r="82" spans="1:18" x14ac:dyDescent="0.3">
      <c r="A82" s="8">
        <v>46125</v>
      </c>
      <c r="B82" s="10"/>
      <c r="D82" s="11" t="s">
        <v>71</v>
      </c>
      <c r="E82" s="11" t="s">
        <v>1237</v>
      </c>
      <c r="F82" s="10"/>
      <c r="G82" s="11" t="s">
        <v>1150</v>
      </c>
      <c r="H82" s="11">
        <v>1</v>
      </c>
      <c r="I82" s="11" t="s">
        <v>86</v>
      </c>
      <c r="J82" s="12">
        <v>150</v>
      </c>
      <c r="K82" s="12">
        <v>150</v>
      </c>
      <c r="L82" s="12">
        <v>133.93</v>
      </c>
      <c r="M82" s="12">
        <v>16.07</v>
      </c>
      <c r="N82" s="11" t="s">
        <v>922</v>
      </c>
      <c r="O82" s="12">
        <v>37.49</v>
      </c>
      <c r="P82" s="12">
        <v>37.49</v>
      </c>
      <c r="Q82" s="12">
        <v>112.51</v>
      </c>
      <c r="R82" s="11" t="s">
        <v>52</v>
      </c>
    </row>
    <row r="83" spans="1:18" x14ac:dyDescent="0.3">
      <c r="A83" s="8">
        <v>46125</v>
      </c>
      <c r="B83" s="10"/>
      <c r="D83" s="11" t="s">
        <v>71</v>
      </c>
      <c r="E83" s="11" t="s">
        <v>1237</v>
      </c>
      <c r="F83" s="10"/>
      <c r="G83" s="11" t="s">
        <v>897</v>
      </c>
      <c r="H83" s="11">
        <v>1</v>
      </c>
      <c r="I83" s="11" t="s">
        <v>149</v>
      </c>
      <c r="J83" s="12">
        <v>300</v>
      </c>
      <c r="K83" s="12">
        <v>300</v>
      </c>
      <c r="L83" s="12">
        <v>267.86</v>
      </c>
      <c r="M83" s="12">
        <v>32.14</v>
      </c>
      <c r="N83" s="10"/>
      <c r="O83" s="12">
        <v>119.01</v>
      </c>
      <c r="P83" s="12">
        <v>119.01</v>
      </c>
      <c r="Q83" s="12">
        <v>180.99</v>
      </c>
      <c r="R83" s="11" t="s">
        <v>52</v>
      </c>
    </row>
    <row r="84" spans="1:18" x14ac:dyDescent="0.3">
      <c r="A84" s="8">
        <v>46125</v>
      </c>
      <c r="B84" s="10"/>
      <c r="D84" s="11" t="s">
        <v>71</v>
      </c>
      <c r="E84" s="11" t="s">
        <v>1237</v>
      </c>
      <c r="F84" s="10"/>
      <c r="G84" s="11" t="s">
        <v>928</v>
      </c>
      <c r="H84" s="11">
        <v>1</v>
      </c>
      <c r="I84" s="11" t="s">
        <v>149</v>
      </c>
      <c r="J84" s="12">
        <v>300</v>
      </c>
      <c r="K84" s="12">
        <v>300</v>
      </c>
      <c r="L84" s="12">
        <v>267.86</v>
      </c>
      <c r="M84" s="12">
        <v>32.14</v>
      </c>
      <c r="N84" s="10"/>
      <c r="O84" s="12">
        <v>55.01</v>
      </c>
      <c r="P84" s="12">
        <v>55.01</v>
      </c>
      <c r="Q84" s="12">
        <v>244.99</v>
      </c>
      <c r="R84" s="11" t="s">
        <v>52</v>
      </c>
    </row>
    <row r="85" spans="1:18" x14ac:dyDescent="0.3">
      <c r="A85" s="8">
        <v>46125</v>
      </c>
      <c r="B85" s="10"/>
      <c r="D85" s="11" t="s">
        <v>89</v>
      </c>
      <c r="E85" s="11" t="s">
        <v>1238</v>
      </c>
      <c r="F85" s="10"/>
      <c r="G85" s="11" t="s">
        <v>907</v>
      </c>
      <c r="H85" s="11">
        <v>32</v>
      </c>
      <c r="I85" s="11" t="s">
        <v>77</v>
      </c>
      <c r="J85" s="12">
        <v>280</v>
      </c>
      <c r="K85" s="12">
        <v>8960</v>
      </c>
      <c r="L85" s="10"/>
      <c r="M85" s="10"/>
      <c r="N85" s="12">
        <v>8960</v>
      </c>
      <c r="O85" s="12">
        <v>173.14</v>
      </c>
      <c r="P85" s="12">
        <v>5540.43</v>
      </c>
      <c r="Q85" s="12">
        <v>3419.57</v>
      </c>
      <c r="R85" s="11" t="s">
        <v>52</v>
      </c>
    </row>
    <row r="86" spans="1:18" x14ac:dyDescent="0.3">
      <c r="A86" s="8">
        <v>46125</v>
      </c>
      <c r="B86" s="10"/>
      <c r="D86" s="11" t="s">
        <v>620</v>
      </c>
      <c r="E86" s="11" t="s">
        <v>906</v>
      </c>
      <c r="F86" s="10"/>
      <c r="G86" s="11" t="s">
        <v>907</v>
      </c>
      <c r="H86" s="11">
        <v>2</v>
      </c>
      <c r="I86" s="11" t="s">
        <v>77</v>
      </c>
      <c r="J86" s="12">
        <v>350</v>
      </c>
      <c r="K86" s="12">
        <v>700</v>
      </c>
      <c r="L86" s="10"/>
      <c r="M86" s="10"/>
      <c r="N86" s="12">
        <v>700</v>
      </c>
      <c r="O86" s="12">
        <v>174.49</v>
      </c>
      <c r="P86" s="12">
        <v>348.98</v>
      </c>
      <c r="Q86" s="12">
        <v>351.02</v>
      </c>
      <c r="R86" s="11" t="s">
        <v>52</v>
      </c>
    </row>
    <row r="87" spans="1:18" x14ac:dyDescent="0.3">
      <c r="A87" s="8">
        <v>46126</v>
      </c>
      <c r="B87" s="10"/>
      <c r="D87" s="11" t="s">
        <v>71</v>
      </c>
      <c r="E87" s="11" t="s">
        <v>644</v>
      </c>
      <c r="F87" s="10"/>
      <c r="G87" s="11" t="s">
        <v>907</v>
      </c>
      <c r="H87" s="11">
        <v>1</v>
      </c>
      <c r="I87" s="11" t="s">
        <v>77</v>
      </c>
      <c r="J87" s="12">
        <v>350</v>
      </c>
      <c r="K87" s="12">
        <v>350</v>
      </c>
      <c r="L87" s="10"/>
      <c r="M87" s="10"/>
      <c r="N87" s="12">
        <v>350</v>
      </c>
      <c r="O87" s="12">
        <v>174.49</v>
      </c>
      <c r="P87" s="12">
        <v>174.49</v>
      </c>
      <c r="Q87" s="12">
        <v>175.51</v>
      </c>
      <c r="R87" s="10"/>
    </row>
    <row r="88" spans="1:18" x14ac:dyDescent="0.3">
      <c r="A88" s="8">
        <v>46126</v>
      </c>
      <c r="B88" s="10"/>
      <c r="D88" s="11" t="s">
        <v>71</v>
      </c>
      <c r="E88" s="11" t="s">
        <v>1239</v>
      </c>
      <c r="F88" s="10"/>
      <c r="G88" s="11" t="s">
        <v>907</v>
      </c>
      <c r="H88" s="11">
        <v>1</v>
      </c>
      <c r="I88" s="11" t="s">
        <v>77</v>
      </c>
      <c r="J88" s="12">
        <v>350</v>
      </c>
      <c r="K88" s="12">
        <v>350</v>
      </c>
      <c r="L88" s="10"/>
      <c r="M88" s="10"/>
      <c r="N88" s="12">
        <v>350</v>
      </c>
      <c r="O88" s="12">
        <v>174.49</v>
      </c>
      <c r="P88" s="12">
        <v>174.49</v>
      </c>
      <c r="Q88" s="12">
        <v>175.51</v>
      </c>
      <c r="R88" s="10"/>
    </row>
    <row r="89" spans="1:18" x14ac:dyDescent="0.3">
      <c r="A89" s="8">
        <v>46126</v>
      </c>
      <c r="B89" s="10"/>
      <c r="D89" s="11" t="s">
        <v>71</v>
      </c>
      <c r="E89" s="11" t="s">
        <v>1240</v>
      </c>
      <c r="F89" s="10"/>
      <c r="G89" s="11" t="s">
        <v>907</v>
      </c>
      <c r="H89" s="11">
        <v>1</v>
      </c>
      <c r="I89" s="11" t="s">
        <v>77</v>
      </c>
      <c r="J89" s="12">
        <v>350</v>
      </c>
      <c r="K89" s="12">
        <v>350</v>
      </c>
      <c r="L89" s="10"/>
      <c r="M89" s="10"/>
      <c r="N89" s="12">
        <v>350</v>
      </c>
      <c r="O89" s="12">
        <v>174.49</v>
      </c>
      <c r="P89" s="12">
        <v>174.49</v>
      </c>
      <c r="Q89" s="12">
        <v>175.51</v>
      </c>
      <c r="R89" s="10"/>
    </row>
    <row r="90" spans="1:18" x14ac:dyDescent="0.3">
      <c r="A90" s="8">
        <v>46126</v>
      </c>
      <c r="B90" s="10"/>
      <c r="D90" s="11" t="s">
        <v>71</v>
      </c>
      <c r="E90" s="11" t="s">
        <v>1048</v>
      </c>
      <c r="F90" s="10"/>
      <c r="G90" s="11" t="s">
        <v>907</v>
      </c>
      <c r="H90" s="11">
        <v>1</v>
      </c>
      <c r="I90" s="11" t="s">
        <v>77</v>
      </c>
      <c r="J90" s="12">
        <v>350</v>
      </c>
      <c r="K90" s="12">
        <v>350</v>
      </c>
      <c r="L90" s="10"/>
      <c r="M90" s="10"/>
      <c r="N90" s="12">
        <v>350</v>
      </c>
      <c r="O90" s="12">
        <v>174.49</v>
      </c>
      <c r="P90" s="12">
        <v>174.49</v>
      </c>
      <c r="Q90" s="12">
        <v>175.51</v>
      </c>
      <c r="R90" s="10"/>
    </row>
    <row r="91" spans="1:18" x14ac:dyDescent="0.3">
      <c r="A91" s="8">
        <v>46126</v>
      </c>
      <c r="B91" s="10"/>
      <c r="D91" s="10"/>
      <c r="E91" s="11" t="s">
        <v>1241</v>
      </c>
      <c r="F91" s="10"/>
      <c r="G91" s="11" t="s">
        <v>907</v>
      </c>
      <c r="H91" s="11">
        <v>25</v>
      </c>
      <c r="I91" s="11" t="s">
        <v>77</v>
      </c>
      <c r="J91" s="12">
        <v>300</v>
      </c>
      <c r="K91" s="12">
        <v>7500</v>
      </c>
      <c r="L91" s="10"/>
      <c r="M91" s="10"/>
      <c r="N91" s="12">
        <v>7500</v>
      </c>
      <c r="O91" s="12">
        <v>174.49</v>
      </c>
      <c r="P91" s="12">
        <v>4362.25</v>
      </c>
      <c r="Q91" s="12">
        <v>3137.75</v>
      </c>
      <c r="R91" s="10"/>
    </row>
    <row r="92" spans="1:18" x14ac:dyDescent="0.3">
      <c r="A92" s="8">
        <v>46126</v>
      </c>
      <c r="B92" s="10"/>
      <c r="D92" s="11" t="s">
        <v>71</v>
      </c>
      <c r="E92" s="11" t="s">
        <v>1180</v>
      </c>
      <c r="F92" s="10"/>
      <c r="G92" s="11" t="s">
        <v>907</v>
      </c>
      <c r="H92" s="11">
        <v>1</v>
      </c>
      <c r="I92" s="11" t="s">
        <v>77</v>
      </c>
      <c r="J92" s="12">
        <v>350</v>
      </c>
      <c r="K92" s="12">
        <v>350</v>
      </c>
      <c r="L92" s="10"/>
      <c r="M92" s="10"/>
      <c r="N92" s="12">
        <v>350</v>
      </c>
      <c r="O92" s="12">
        <v>174.49</v>
      </c>
      <c r="P92" s="12">
        <v>174.49</v>
      </c>
      <c r="Q92" s="12">
        <v>175.51</v>
      </c>
      <c r="R92" s="10"/>
    </row>
    <row r="93" spans="1:18" x14ac:dyDescent="0.3">
      <c r="A93" s="8">
        <v>46127</v>
      </c>
      <c r="B93" s="10"/>
      <c r="D93" s="11" t="s">
        <v>71</v>
      </c>
      <c r="E93" s="11" t="s">
        <v>969</v>
      </c>
      <c r="F93" s="10"/>
      <c r="G93" s="11" t="s">
        <v>907</v>
      </c>
      <c r="H93" s="11">
        <v>2</v>
      </c>
      <c r="I93" s="11" t="s">
        <v>91</v>
      </c>
      <c r="J93" s="12">
        <v>5250</v>
      </c>
      <c r="K93" s="12">
        <v>10500</v>
      </c>
      <c r="L93" s="10"/>
      <c r="M93" s="10"/>
      <c r="N93" s="12">
        <v>10500</v>
      </c>
      <c r="O93" s="12">
        <v>3731.54</v>
      </c>
      <c r="P93" s="12">
        <v>7463.08</v>
      </c>
      <c r="Q93" s="12">
        <v>3036.92</v>
      </c>
      <c r="R93" s="11" t="s">
        <v>52</v>
      </c>
    </row>
    <row r="94" spans="1:18" x14ac:dyDescent="0.3">
      <c r="A94" s="8">
        <v>46127</v>
      </c>
      <c r="B94" s="10"/>
      <c r="D94" s="11" t="s">
        <v>71</v>
      </c>
      <c r="E94" s="11" t="s">
        <v>1190</v>
      </c>
      <c r="F94" s="10"/>
      <c r="G94" s="11" t="s">
        <v>907</v>
      </c>
      <c r="H94" s="11">
        <v>1</v>
      </c>
      <c r="I94" s="11" t="s">
        <v>77</v>
      </c>
      <c r="J94" s="12">
        <v>350</v>
      </c>
      <c r="K94" s="12">
        <v>350</v>
      </c>
      <c r="L94" s="10"/>
      <c r="M94" s="10"/>
      <c r="N94" s="12">
        <v>350</v>
      </c>
      <c r="O94" s="12">
        <v>174.49</v>
      </c>
      <c r="P94" s="12">
        <v>174.49</v>
      </c>
      <c r="Q94" s="12">
        <v>175.51</v>
      </c>
      <c r="R94" s="10"/>
    </row>
    <row r="95" spans="1:18" x14ac:dyDescent="0.3">
      <c r="A95" s="8">
        <v>46127</v>
      </c>
      <c r="B95" s="10"/>
      <c r="D95" s="10"/>
      <c r="E95" s="11" t="s">
        <v>1242</v>
      </c>
      <c r="F95" s="10"/>
      <c r="G95" s="11" t="s">
        <v>907</v>
      </c>
      <c r="H95" s="11">
        <v>32</v>
      </c>
      <c r="I95" s="11" t="s">
        <v>77</v>
      </c>
      <c r="J95" s="12">
        <v>280</v>
      </c>
      <c r="K95" s="12">
        <v>8960</v>
      </c>
      <c r="L95" s="10"/>
      <c r="M95" s="10"/>
      <c r="N95" s="12">
        <v>8960</v>
      </c>
      <c r="O95" s="12">
        <v>174.49</v>
      </c>
      <c r="P95" s="12">
        <v>5583.68</v>
      </c>
      <c r="Q95" s="12">
        <v>3376.32</v>
      </c>
      <c r="R95" s="11" t="s">
        <v>52</v>
      </c>
    </row>
    <row r="96" spans="1:18" x14ac:dyDescent="0.3">
      <c r="A96" s="8">
        <v>46127</v>
      </c>
      <c r="B96" s="10"/>
      <c r="D96" s="11" t="s">
        <v>1243</v>
      </c>
      <c r="E96" s="11" t="s">
        <v>1244</v>
      </c>
      <c r="F96" s="10"/>
      <c r="G96" s="11" t="s">
        <v>907</v>
      </c>
      <c r="H96" s="11">
        <v>1</v>
      </c>
      <c r="I96" s="11" t="s">
        <v>100</v>
      </c>
      <c r="J96" s="12">
        <v>6000</v>
      </c>
      <c r="K96" s="12">
        <v>6000</v>
      </c>
      <c r="L96" s="10"/>
      <c r="M96" s="10"/>
      <c r="N96" s="12">
        <v>6000</v>
      </c>
      <c r="O96" s="12">
        <v>3731.54</v>
      </c>
      <c r="P96" s="12">
        <v>3731.54</v>
      </c>
      <c r="Q96" s="12">
        <v>2268.46</v>
      </c>
      <c r="R96" s="11" t="s">
        <v>52</v>
      </c>
    </row>
    <row r="97" spans="1:18" x14ac:dyDescent="0.3">
      <c r="A97" s="8">
        <v>46127</v>
      </c>
      <c r="B97" s="10"/>
      <c r="D97" s="11" t="s">
        <v>1245</v>
      </c>
      <c r="E97" s="11" t="s">
        <v>1246</v>
      </c>
      <c r="F97" s="10"/>
      <c r="G97" s="11" t="s">
        <v>111</v>
      </c>
      <c r="H97" s="11">
        <v>1</v>
      </c>
      <c r="I97" s="11" t="s">
        <v>74</v>
      </c>
      <c r="J97" s="12">
        <v>1250</v>
      </c>
      <c r="K97" s="12">
        <v>1250</v>
      </c>
      <c r="L97" s="12">
        <v>1116.07</v>
      </c>
      <c r="M97" s="12">
        <v>133.93</v>
      </c>
      <c r="N97" s="10"/>
      <c r="O97" s="12">
        <v>870</v>
      </c>
      <c r="P97" s="12">
        <v>870</v>
      </c>
      <c r="Q97" s="12">
        <v>380</v>
      </c>
      <c r="R97" s="11" t="s">
        <v>52</v>
      </c>
    </row>
    <row r="98" spans="1:18" x14ac:dyDescent="0.3">
      <c r="A98" s="8">
        <v>46127</v>
      </c>
      <c r="B98" s="10"/>
      <c r="D98" s="11" t="s">
        <v>71</v>
      </c>
      <c r="E98" s="11" t="s">
        <v>1247</v>
      </c>
      <c r="F98" s="10"/>
      <c r="G98" s="11" t="s">
        <v>907</v>
      </c>
      <c r="H98" s="11">
        <v>1</v>
      </c>
      <c r="I98" s="11" t="s">
        <v>77</v>
      </c>
      <c r="J98" s="12">
        <v>350</v>
      </c>
      <c r="K98" s="12">
        <v>350</v>
      </c>
      <c r="L98" s="10"/>
      <c r="M98" s="10"/>
      <c r="N98" s="12">
        <v>350</v>
      </c>
      <c r="O98" s="12">
        <v>174.49</v>
      </c>
      <c r="P98" s="12">
        <v>174.49</v>
      </c>
      <c r="Q98" s="12">
        <v>175.51</v>
      </c>
      <c r="R98" s="10"/>
    </row>
    <row r="99" spans="1:18" x14ac:dyDescent="0.3">
      <c r="A99" s="8">
        <v>46127</v>
      </c>
      <c r="B99" s="10"/>
      <c r="D99" s="11" t="s">
        <v>71</v>
      </c>
      <c r="E99" s="11" t="s">
        <v>1248</v>
      </c>
      <c r="F99" s="10"/>
      <c r="G99" s="11" t="s">
        <v>907</v>
      </c>
      <c r="H99" s="11">
        <v>1</v>
      </c>
      <c r="I99" s="11" t="s">
        <v>77</v>
      </c>
      <c r="J99" s="12">
        <v>350</v>
      </c>
      <c r="K99" s="12">
        <v>350</v>
      </c>
      <c r="L99" s="10"/>
      <c r="M99" s="10"/>
      <c r="N99" s="12">
        <v>350</v>
      </c>
      <c r="O99" s="12">
        <v>174.49</v>
      </c>
      <c r="P99" s="12">
        <v>174.49</v>
      </c>
      <c r="Q99" s="12">
        <v>175.51</v>
      </c>
      <c r="R99" s="10"/>
    </row>
    <row r="100" spans="1:18" x14ac:dyDescent="0.3">
      <c r="A100" s="8">
        <v>46128</v>
      </c>
      <c r="B100" s="10"/>
      <c r="D100" s="10"/>
      <c r="E100" s="11" t="s">
        <v>1013</v>
      </c>
      <c r="F100" s="10"/>
      <c r="G100" s="11" t="s">
        <v>907</v>
      </c>
      <c r="H100" s="11">
        <v>320</v>
      </c>
      <c r="I100" s="11" t="s">
        <v>77</v>
      </c>
      <c r="J100" s="12">
        <v>280</v>
      </c>
      <c r="K100" s="12">
        <v>89600</v>
      </c>
      <c r="L100" s="10"/>
      <c r="M100" s="10"/>
      <c r="N100" s="12">
        <v>89600</v>
      </c>
      <c r="O100" s="12">
        <v>174.49</v>
      </c>
      <c r="P100" s="12">
        <v>55836.800000000003</v>
      </c>
      <c r="Q100" s="12">
        <v>33763.199999999997</v>
      </c>
      <c r="R100" s="11" t="s">
        <v>51</v>
      </c>
    </row>
    <row r="101" spans="1:18" x14ac:dyDescent="0.3">
      <c r="A101" s="8">
        <v>46128</v>
      </c>
      <c r="B101" s="10"/>
      <c r="D101" s="11" t="s">
        <v>71</v>
      </c>
      <c r="E101" s="11" t="s">
        <v>1249</v>
      </c>
      <c r="F101" s="10"/>
      <c r="G101" s="11" t="s">
        <v>625</v>
      </c>
      <c r="H101" s="11">
        <v>1</v>
      </c>
      <c r="I101" s="11" t="s">
        <v>74</v>
      </c>
      <c r="J101" s="12">
        <v>3224</v>
      </c>
      <c r="K101" s="12">
        <v>3224</v>
      </c>
      <c r="L101" s="12">
        <v>2878.57</v>
      </c>
      <c r="M101" s="12">
        <v>345.43</v>
      </c>
      <c r="N101" s="10"/>
      <c r="O101" s="12">
        <v>2210</v>
      </c>
      <c r="P101" s="12">
        <v>2210</v>
      </c>
      <c r="Q101" s="12">
        <v>1014</v>
      </c>
      <c r="R101" s="10"/>
    </row>
    <row r="102" spans="1:18" x14ac:dyDescent="0.3">
      <c r="A102" s="8">
        <v>46128</v>
      </c>
      <c r="B102" s="10"/>
      <c r="D102" s="10"/>
      <c r="E102" s="11" t="s">
        <v>1250</v>
      </c>
      <c r="F102" s="10"/>
      <c r="G102" s="11" t="s">
        <v>907</v>
      </c>
      <c r="H102" s="11">
        <v>10</v>
      </c>
      <c r="I102" s="11" t="s">
        <v>77</v>
      </c>
      <c r="J102" s="12">
        <v>350</v>
      </c>
      <c r="K102" s="12">
        <v>3500</v>
      </c>
      <c r="L102" s="10"/>
      <c r="M102" s="10"/>
      <c r="N102" s="12">
        <v>3500</v>
      </c>
      <c r="O102" s="12">
        <v>174.49</v>
      </c>
      <c r="P102" s="12">
        <v>1744.9</v>
      </c>
      <c r="Q102" s="12">
        <v>1755.1</v>
      </c>
      <c r="R102" s="10"/>
    </row>
    <row r="103" spans="1:18" x14ac:dyDescent="0.3">
      <c r="A103" s="8">
        <v>46128</v>
      </c>
      <c r="B103" s="10"/>
      <c r="D103" s="11" t="s">
        <v>71</v>
      </c>
      <c r="E103" s="11" t="s">
        <v>1251</v>
      </c>
      <c r="F103" s="10"/>
      <c r="G103" s="11" t="s">
        <v>940</v>
      </c>
      <c r="H103" s="11">
        <v>1</v>
      </c>
      <c r="I103" s="11" t="s">
        <v>74</v>
      </c>
      <c r="J103" s="12">
        <v>300</v>
      </c>
      <c r="K103" s="12">
        <v>300</v>
      </c>
      <c r="L103" s="12">
        <v>267.86</v>
      </c>
      <c r="M103" s="12">
        <v>32.119999999999997</v>
      </c>
      <c r="N103" s="10"/>
      <c r="O103" s="12">
        <v>92.02</v>
      </c>
      <c r="P103" s="12">
        <v>92.02</v>
      </c>
      <c r="Q103" s="12">
        <v>207.98</v>
      </c>
      <c r="R103" s="10"/>
    </row>
    <row r="104" spans="1:18" x14ac:dyDescent="0.3">
      <c r="A104" s="8">
        <v>46128</v>
      </c>
      <c r="B104" s="10"/>
      <c r="D104" s="10"/>
      <c r="E104" s="11" t="s">
        <v>990</v>
      </c>
      <c r="F104" s="10"/>
      <c r="G104" s="11" t="s">
        <v>907</v>
      </c>
      <c r="H104" s="11">
        <v>96</v>
      </c>
      <c r="I104" s="11" t="s">
        <v>77</v>
      </c>
      <c r="J104" s="12">
        <v>234.38</v>
      </c>
      <c r="K104" s="12">
        <v>22500</v>
      </c>
      <c r="L104" s="10"/>
      <c r="M104" s="10"/>
      <c r="N104" s="12">
        <v>22500</v>
      </c>
      <c r="O104" s="12">
        <v>174.49</v>
      </c>
      <c r="P104" s="12">
        <v>16751.04</v>
      </c>
      <c r="Q104" s="12">
        <v>5748.96</v>
      </c>
      <c r="R104" s="11" t="s">
        <v>642</v>
      </c>
    </row>
    <row r="105" spans="1:18" x14ac:dyDescent="0.3">
      <c r="A105" s="8">
        <v>46129</v>
      </c>
      <c r="B105" s="10"/>
      <c r="D105" s="11" t="s">
        <v>1252</v>
      </c>
      <c r="E105" s="11" t="s">
        <v>1253</v>
      </c>
      <c r="F105" s="10"/>
      <c r="G105" s="11" t="s">
        <v>921</v>
      </c>
      <c r="H105" s="11">
        <v>2</v>
      </c>
      <c r="I105" s="11" t="s">
        <v>86</v>
      </c>
      <c r="J105" s="12">
        <v>79500</v>
      </c>
      <c r="K105" s="12">
        <v>159000</v>
      </c>
      <c r="L105" s="12">
        <v>141964.29</v>
      </c>
      <c r="M105" s="12">
        <v>17035.71</v>
      </c>
      <c r="N105" s="10"/>
      <c r="O105" s="58">
        <v>32953.57</v>
      </c>
      <c r="P105" s="12">
        <v>65907.14</v>
      </c>
      <c r="Q105" s="12">
        <v>93092.86</v>
      </c>
      <c r="R105" s="11" t="s">
        <v>51</v>
      </c>
    </row>
    <row r="106" spans="1:18" x14ac:dyDescent="0.3">
      <c r="A106" s="8">
        <v>46129</v>
      </c>
      <c r="B106" s="10"/>
      <c r="D106" s="11" t="s">
        <v>71</v>
      </c>
      <c r="E106" s="11" t="s">
        <v>1254</v>
      </c>
      <c r="F106" s="10"/>
      <c r="G106" s="11" t="s">
        <v>912</v>
      </c>
      <c r="H106" s="11">
        <v>2</v>
      </c>
      <c r="I106" s="11" t="s">
        <v>130</v>
      </c>
      <c r="J106" s="12">
        <v>150</v>
      </c>
      <c r="K106" s="12">
        <v>300</v>
      </c>
      <c r="L106" s="12">
        <v>267.86</v>
      </c>
      <c r="M106" s="12">
        <v>32.14</v>
      </c>
      <c r="N106" s="10"/>
      <c r="O106" s="10"/>
      <c r="P106" s="11" t="s">
        <v>922</v>
      </c>
      <c r="Q106" s="12">
        <v>300</v>
      </c>
      <c r="R106" s="10"/>
    </row>
    <row r="107" spans="1:18" x14ac:dyDescent="0.3">
      <c r="A107" s="8">
        <v>46129</v>
      </c>
      <c r="B107" s="10"/>
      <c r="D107" s="11" t="s">
        <v>71</v>
      </c>
      <c r="E107" s="11" t="s">
        <v>1255</v>
      </c>
      <c r="F107" s="10"/>
      <c r="G107" s="11" t="s">
        <v>907</v>
      </c>
      <c r="H107" s="11">
        <v>5</v>
      </c>
      <c r="I107" s="11" t="s">
        <v>77</v>
      </c>
      <c r="J107" s="12">
        <v>350</v>
      </c>
      <c r="K107" s="12">
        <v>1750</v>
      </c>
      <c r="L107" s="10"/>
      <c r="M107" s="10"/>
      <c r="N107" s="12">
        <v>1750</v>
      </c>
      <c r="O107" s="12">
        <v>174.49</v>
      </c>
      <c r="P107" s="12">
        <v>872.45</v>
      </c>
      <c r="Q107" s="12">
        <v>877.55</v>
      </c>
      <c r="R107" s="10"/>
    </row>
    <row r="108" spans="1:18" x14ac:dyDescent="0.3">
      <c r="A108" s="8">
        <v>46129</v>
      </c>
      <c r="B108" s="10"/>
      <c r="D108" s="11" t="s">
        <v>71</v>
      </c>
      <c r="E108" s="11" t="s">
        <v>1256</v>
      </c>
      <c r="F108" s="10"/>
      <c r="G108" s="11" t="s">
        <v>907</v>
      </c>
      <c r="H108" s="11">
        <v>1</v>
      </c>
      <c r="I108" s="11" t="s">
        <v>77</v>
      </c>
      <c r="J108" s="12">
        <v>350</v>
      </c>
      <c r="K108" s="12">
        <v>350</v>
      </c>
      <c r="L108" s="10"/>
      <c r="M108" s="10"/>
      <c r="N108" s="12">
        <v>350</v>
      </c>
      <c r="O108" s="12">
        <v>174.49</v>
      </c>
      <c r="P108" s="12">
        <v>174.49</v>
      </c>
      <c r="Q108" s="12">
        <v>175.51</v>
      </c>
      <c r="R108" s="10"/>
    </row>
    <row r="109" spans="1:18" x14ac:dyDescent="0.3">
      <c r="A109" s="8">
        <v>46129</v>
      </c>
      <c r="B109" s="10"/>
      <c r="D109" s="11" t="s">
        <v>71</v>
      </c>
      <c r="E109" s="11" t="s">
        <v>1257</v>
      </c>
      <c r="F109" s="10"/>
      <c r="G109" s="11" t="s">
        <v>907</v>
      </c>
      <c r="H109" s="11">
        <v>2</v>
      </c>
      <c r="I109" s="11" t="s">
        <v>77</v>
      </c>
      <c r="J109" s="12">
        <v>350</v>
      </c>
      <c r="K109" s="12">
        <v>700</v>
      </c>
      <c r="L109" s="10"/>
      <c r="M109" s="10"/>
      <c r="N109" s="12">
        <v>700</v>
      </c>
      <c r="O109" s="12">
        <v>174.49</v>
      </c>
      <c r="P109" s="12">
        <v>348.98</v>
      </c>
      <c r="Q109" s="12">
        <v>351.02</v>
      </c>
      <c r="R109" s="10"/>
    </row>
    <row r="110" spans="1:18" x14ac:dyDescent="0.3">
      <c r="A110" s="8">
        <v>46129</v>
      </c>
      <c r="B110" s="10"/>
      <c r="D110" s="11" t="s">
        <v>71</v>
      </c>
      <c r="E110" s="11" t="s">
        <v>1188</v>
      </c>
      <c r="F110" s="10"/>
      <c r="G110" s="11" t="s">
        <v>907</v>
      </c>
      <c r="H110" s="11">
        <v>2</v>
      </c>
      <c r="I110" s="11" t="s">
        <v>77</v>
      </c>
      <c r="J110" s="12">
        <v>350</v>
      </c>
      <c r="K110" s="12">
        <v>700</v>
      </c>
      <c r="L110" s="10"/>
      <c r="M110" s="10"/>
      <c r="N110" s="12">
        <v>700</v>
      </c>
      <c r="O110" s="12">
        <v>174.49</v>
      </c>
      <c r="P110" s="12">
        <v>348.98</v>
      </c>
      <c r="Q110" s="12">
        <v>351.02</v>
      </c>
      <c r="R110" s="10"/>
    </row>
    <row r="111" spans="1:18" x14ac:dyDescent="0.3">
      <c r="A111" s="8">
        <v>46129</v>
      </c>
      <c r="B111" s="10"/>
      <c r="D111" s="11" t="s">
        <v>71</v>
      </c>
      <c r="E111" s="11" t="s">
        <v>1258</v>
      </c>
      <c r="F111" s="10"/>
      <c r="G111" s="11" t="s">
        <v>907</v>
      </c>
      <c r="H111" s="11">
        <v>1</v>
      </c>
      <c r="I111" s="11" t="s">
        <v>77</v>
      </c>
      <c r="J111" s="12">
        <v>350</v>
      </c>
      <c r="K111" s="12">
        <v>350</v>
      </c>
      <c r="L111" s="10"/>
      <c r="M111" s="10"/>
      <c r="N111" s="12">
        <v>350</v>
      </c>
      <c r="O111" s="12">
        <v>174.49</v>
      </c>
      <c r="P111" s="12">
        <v>174.49</v>
      </c>
      <c r="Q111" s="12">
        <v>175.51</v>
      </c>
      <c r="R111" s="10"/>
    </row>
    <row r="112" spans="1:18" x14ac:dyDescent="0.3">
      <c r="A112" s="8">
        <v>46129</v>
      </c>
      <c r="B112" s="10"/>
      <c r="D112" s="11" t="s">
        <v>71</v>
      </c>
      <c r="E112" s="11" t="s">
        <v>1259</v>
      </c>
      <c r="F112" s="10"/>
      <c r="G112" s="11" t="s">
        <v>907</v>
      </c>
      <c r="H112" s="11">
        <v>1</v>
      </c>
      <c r="I112" s="11" t="s">
        <v>77</v>
      </c>
      <c r="J112" s="12">
        <v>350</v>
      </c>
      <c r="K112" s="12">
        <v>350</v>
      </c>
      <c r="L112" s="10"/>
      <c r="M112" s="10"/>
      <c r="N112" s="12">
        <v>350</v>
      </c>
      <c r="O112" s="12">
        <v>174.59</v>
      </c>
      <c r="P112" s="12">
        <v>174.59</v>
      </c>
      <c r="Q112" s="12">
        <v>175.41</v>
      </c>
      <c r="R112" s="10"/>
    </row>
    <row r="113" spans="1:18" x14ac:dyDescent="0.3">
      <c r="A113" s="8">
        <v>46129</v>
      </c>
      <c r="B113" s="10"/>
      <c r="D113" s="11" t="s">
        <v>71</v>
      </c>
      <c r="E113" s="11" t="s">
        <v>1260</v>
      </c>
      <c r="F113" s="10"/>
      <c r="G113" s="11" t="s">
        <v>907</v>
      </c>
      <c r="H113" s="11">
        <v>10</v>
      </c>
      <c r="I113" s="11" t="s">
        <v>77</v>
      </c>
      <c r="J113" s="12">
        <v>350</v>
      </c>
      <c r="K113" s="12">
        <v>3500</v>
      </c>
      <c r="L113" s="10"/>
      <c r="M113" s="10"/>
      <c r="N113" s="12">
        <v>3500</v>
      </c>
      <c r="O113" s="12">
        <v>174.59</v>
      </c>
      <c r="P113" s="12">
        <v>1745.9</v>
      </c>
      <c r="Q113" s="12">
        <v>1754.1</v>
      </c>
      <c r="R113" s="10"/>
    </row>
    <row r="114" spans="1:18" x14ac:dyDescent="0.3">
      <c r="A114" s="8">
        <v>46130</v>
      </c>
      <c r="B114" s="10"/>
      <c r="D114" s="11" t="s">
        <v>71</v>
      </c>
      <c r="E114" s="11" t="s">
        <v>1261</v>
      </c>
      <c r="F114" s="10"/>
      <c r="G114" s="11" t="s">
        <v>1005</v>
      </c>
      <c r="H114" s="11">
        <v>2</v>
      </c>
      <c r="I114" s="11" t="s">
        <v>268</v>
      </c>
      <c r="J114" s="12">
        <v>300</v>
      </c>
      <c r="K114" s="12">
        <v>600</v>
      </c>
      <c r="L114" s="12">
        <v>535.71</v>
      </c>
      <c r="M114" s="12">
        <v>64.290000000000006</v>
      </c>
      <c r="N114" s="10"/>
      <c r="O114" s="12">
        <v>55.02</v>
      </c>
      <c r="P114" s="12">
        <v>110.04</v>
      </c>
      <c r="Q114" s="12">
        <v>489.96</v>
      </c>
      <c r="R114" s="10"/>
    </row>
    <row r="115" spans="1:18" x14ac:dyDescent="0.3">
      <c r="A115" s="8">
        <v>46130</v>
      </c>
      <c r="B115" s="10"/>
      <c r="D115" s="11" t="s">
        <v>71</v>
      </c>
      <c r="E115" s="11" t="s">
        <v>1045</v>
      </c>
      <c r="F115" s="10"/>
      <c r="G115" s="11" t="s">
        <v>928</v>
      </c>
      <c r="H115" s="11">
        <v>4</v>
      </c>
      <c r="I115" s="11" t="s">
        <v>149</v>
      </c>
      <c r="J115" s="12">
        <v>300</v>
      </c>
      <c r="K115" s="12">
        <v>1200</v>
      </c>
      <c r="L115" s="12">
        <v>1071.43</v>
      </c>
      <c r="M115" s="12">
        <v>128.57</v>
      </c>
      <c r="N115" s="10"/>
      <c r="O115" s="12">
        <v>134.34</v>
      </c>
      <c r="P115" s="12">
        <v>537.36</v>
      </c>
      <c r="Q115" s="12">
        <v>662.64</v>
      </c>
      <c r="R115" s="10"/>
    </row>
    <row r="116" spans="1:18" x14ac:dyDescent="0.3">
      <c r="A116" s="8">
        <v>46130</v>
      </c>
      <c r="B116" s="10"/>
      <c r="D116" s="11" t="s">
        <v>71</v>
      </c>
      <c r="E116" s="11" t="s">
        <v>1262</v>
      </c>
      <c r="F116" s="10"/>
      <c r="G116" s="11" t="s">
        <v>907</v>
      </c>
      <c r="H116" s="11">
        <v>1</v>
      </c>
      <c r="I116" s="11" t="s">
        <v>77</v>
      </c>
      <c r="J116" s="12">
        <v>350</v>
      </c>
      <c r="K116" s="12">
        <v>350</v>
      </c>
      <c r="L116" s="10"/>
      <c r="M116" s="10"/>
      <c r="N116" s="12">
        <v>350</v>
      </c>
      <c r="O116" s="12">
        <v>174.49</v>
      </c>
      <c r="P116" s="12">
        <v>174.49</v>
      </c>
      <c r="Q116" s="12">
        <v>175.51</v>
      </c>
      <c r="R116" s="10"/>
    </row>
    <row r="117" spans="1:18" x14ac:dyDescent="0.3">
      <c r="A117" s="8">
        <v>46130</v>
      </c>
      <c r="B117" s="10"/>
      <c r="D117" s="11" t="s">
        <v>71</v>
      </c>
      <c r="E117" s="11" t="s">
        <v>1263</v>
      </c>
      <c r="F117" s="10"/>
      <c r="G117" s="11" t="s">
        <v>907</v>
      </c>
      <c r="H117" s="11">
        <v>1</v>
      </c>
      <c r="I117" s="11" t="s">
        <v>77</v>
      </c>
      <c r="J117" s="12">
        <v>350</v>
      </c>
      <c r="K117" s="12">
        <v>350</v>
      </c>
      <c r="L117" s="10"/>
      <c r="M117" s="10"/>
      <c r="N117" s="12">
        <v>350</v>
      </c>
      <c r="O117" s="12">
        <v>174.49</v>
      </c>
      <c r="P117" s="12">
        <v>174.49</v>
      </c>
      <c r="Q117" s="12">
        <v>175.51</v>
      </c>
      <c r="R117" s="10"/>
    </row>
    <row r="118" spans="1:18" x14ac:dyDescent="0.3">
      <c r="A118" s="8">
        <v>46130</v>
      </c>
      <c r="B118" s="10"/>
      <c r="D118" s="11" t="s">
        <v>71</v>
      </c>
      <c r="E118" s="11" t="s">
        <v>1264</v>
      </c>
      <c r="F118" s="10"/>
      <c r="G118" s="11" t="s">
        <v>907</v>
      </c>
      <c r="H118" s="11">
        <v>2</v>
      </c>
      <c r="I118" s="11" t="s">
        <v>77</v>
      </c>
      <c r="J118" s="12">
        <v>350</v>
      </c>
      <c r="K118" s="12">
        <v>700</v>
      </c>
      <c r="L118" s="10"/>
      <c r="M118" s="10"/>
      <c r="N118" s="12">
        <v>350</v>
      </c>
      <c r="O118" s="12">
        <v>174.49</v>
      </c>
      <c r="P118" s="12">
        <v>348.98</v>
      </c>
      <c r="Q118" s="12">
        <v>351.02</v>
      </c>
      <c r="R118" s="10"/>
    </row>
    <row r="119" spans="1:18" x14ac:dyDescent="0.3">
      <c r="A119" s="8">
        <v>46130</v>
      </c>
      <c r="B119" s="10"/>
      <c r="D119" s="11" t="s">
        <v>1265</v>
      </c>
      <c r="E119" s="11" t="s">
        <v>1086</v>
      </c>
      <c r="F119" s="10"/>
      <c r="G119" s="11" t="s">
        <v>907</v>
      </c>
      <c r="H119" s="11">
        <v>25</v>
      </c>
      <c r="I119" s="11" t="s">
        <v>77</v>
      </c>
      <c r="J119" s="12">
        <v>280</v>
      </c>
      <c r="K119" s="12">
        <v>7000</v>
      </c>
      <c r="L119" s="10"/>
      <c r="M119" s="10"/>
      <c r="N119" s="12">
        <v>7000</v>
      </c>
      <c r="O119" s="12">
        <v>174.49</v>
      </c>
      <c r="P119" s="12">
        <v>4362.25</v>
      </c>
      <c r="Q119" s="12">
        <v>2637.75</v>
      </c>
      <c r="R119" s="10"/>
    </row>
    <row r="120" spans="1:18" x14ac:dyDescent="0.3">
      <c r="A120" s="8">
        <v>46130</v>
      </c>
      <c r="B120" s="10"/>
      <c r="D120" s="11" t="s">
        <v>1265</v>
      </c>
      <c r="E120" s="11" t="s">
        <v>1086</v>
      </c>
      <c r="F120" s="10"/>
      <c r="G120" s="11" t="s">
        <v>111</v>
      </c>
      <c r="H120" s="11">
        <v>1</v>
      </c>
      <c r="I120" s="11" t="s">
        <v>74</v>
      </c>
      <c r="J120" s="12">
        <v>1250</v>
      </c>
      <c r="K120" s="12">
        <v>1250</v>
      </c>
      <c r="L120" s="12">
        <v>1116.07</v>
      </c>
      <c r="M120" s="12">
        <v>133.93</v>
      </c>
      <c r="N120" s="10"/>
      <c r="O120" s="12">
        <v>870</v>
      </c>
      <c r="P120" s="12">
        <v>870</v>
      </c>
      <c r="Q120" s="12">
        <v>380</v>
      </c>
      <c r="R120" s="10"/>
    </row>
    <row r="121" spans="1:18" x14ac:dyDescent="0.3">
      <c r="A121" s="8">
        <v>46130</v>
      </c>
      <c r="B121" s="10"/>
      <c r="D121" s="11" t="s">
        <v>71</v>
      </c>
      <c r="E121" s="11" t="s">
        <v>1266</v>
      </c>
      <c r="F121" s="10"/>
      <c r="G121" s="11" t="s">
        <v>907</v>
      </c>
      <c r="H121" s="11">
        <v>10</v>
      </c>
      <c r="I121" s="11" t="s">
        <v>77</v>
      </c>
      <c r="J121" s="12">
        <v>350</v>
      </c>
      <c r="K121" s="12">
        <v>3500</v>
      </c>
      <c r="L121" s="10"/>
      <c r="M121" s="10"/>
      <c r="N121" s="12">
        <v>3500</v>
      </c>
      <c r="O121" s="12">
        <v>174.49</v>
      </c>
      <c r="P121" s="12">
        <v>1744.9</v>
      </c>
      <c r="Q121" s="12">
        <v>1755.1</v>
      </c>
      <c r="R121" s="10"/>
    </row>
    <row r="122" spans="1:18" x14ac:dyDescent="0.3">
      <c r="A122" s="8">
        <v>46130</v>
      </c>
      <c r="B122" s="10"/>
      <c r="D122" s="11" t="s">
        <v>71</v>
      </c>
      <c r="E122" s="11" t="s">
        <v>1267</v>
      </c>
      <c r="F122" s="10"/>
      <c r="G122" s="11" t="s">
        <v>907</v>
      </c>
      <c r="H122" s="11">
        <v>1</v>
      </c>
      <c r="I122" s="11" t="s">
        <v>77</v>
      </c>
      <c r="J122" s="12">
        <v>350</v>
      </c>
      <c r="K122" s="12">
        <v>350</v>
      </c>
      <c r="L122" s="10"/>
      <c r="M122" s="10"/>
      <c r="N122" s="12">
        <v>350</v>
      </c>
      <c r="O122" s="12">
        <v>174.49</v>
      </c>
      <c r="P122" s="12">
        <v>174.49</v>
      </c>
      <c r="Q122" s="12">
        <v>175.51</v>
      </c>
      <c r="R122" s="10"/>
    </row>
    <row r="123" spans="1:18" x14ac:dyDescent="0.3">
      <c r="A123" s="8">
        <v>46130</v>
      </c>
      <c r="B123" s="10"/>
      <c r="D123" s="11" t="s">
        <v>71</v>
      </c>
      <c r="E123" s="11" t="s">
        <v>1268</v>
      </c>
      <c r="F123" s="10"/>
      <c r="G123" s="11" t="s">
        <v>907</v>
      </c>
      <c r="H123" s="11">
        <v>1</v>
      </c>
      <c r="I123" s="11" t="s">
        <v>77</v>
      </c>
      <c r="J123" s="12">
        <v>350</v>
      </c>
      <c r="K123" s="12">
        <v>350</v>
      </c>
      <c r="L123" s="10"/>
      <c r="M123" s="10"/>
      <c r="N123" s="12">
        <v>350</v>
      </c>
      <c r="O123" s="12">
        <v>174.49</v>
      </c>
      <c r="P123" s="12">
        <v>174.49</v>
      </c>
      <c r="Q123" s="12">
        <v>175.51</v>
      </c>
      <c r="R123" s="10"/>
    </row>
    <row r="124" spans="1:18" x14ac:dyDescent="0.3">
      <c r="A124" s="8">
        <v>46130</v>
      </c>
      <c r="B124" s="10"/>
      <c r="D124" s="11" t="s">
        <v>71</v>
      </c>
      <c r="E124" s="11" t="s">
        <v>1269</v>
      </c>
      <c r="F124" s="10"/>
      <c r="G124" s="11" t="s">
        <v>907</v>
      </c>
      <c r="H124" s="11">
        <v>1</v>
      </c>
      <c r="I124" s="11" t="s">
        <v>77</v>
      </c>
      <c r="J124" s="12">
        <v>350</v>
      </c>
      <c r="K124" s="12">
        <v>350</v>
      </c>
      <c r="L124" s="10"/>
      <c r="M124" s="10"/>
      <c r="N124" s="12">
        <v>350</v>
      </c>
      <c r="O124" s="12">
        <v>174.49</v>
      </c>
      <c r="P124" s="12">
        <v>174.49</v>
      </c>
      <c r="Q124" s="12">
        <v>175.51</v>
      </c>
      <c r="R124" s="10"/>
    </row>
    <row r="125" spans="1:18" x14ac:dyDescent="0.3">
      <c r="A125" s="8">
        <v>46130</v>
      </c>
      <c r="B125" s="10"/>
      <c r="D125" s="11" t="s">
        <v>1270</v>
      </c>
      <c r="E125" s="11" t="s">
        <v>1271</v>
      </c>
      <c r="F125" s="10"/>
      <c r="G125" s="11" t="s">
        <v>907</v>
      </c>
      <c r="H125" s="11">
        <v>32</v>
      </c>
      <c r="I125" s="11" t="s">
        <v>77</v>
      </c>
      <c r="J125" s="12">
        <v>280</v>
      </c>
      <c r="K125" s="12">
        <v>8960</v>
      </c>
      <c r="L125" s="10"/>
      <c r="M125" s="10"/>
      <c r="N125" s="12">
        <v>8960</v>
      </c>
      <c r="O125" s="12">
        <v>174.49</v>
      </c>
      <c r="P125" s="12">
        <v>5583.68</v>
      </c>
      <c r="Q125" s="12">
        <v>3376.32</v>
      </c>
      <c r="R125" s="10"/>
    </row>
    <row r="126" spans="1:18" x14ac:dyDescent="0.3">
      <c r="A126" s="8">
        <v>46130</v>
      </c>
      <c r="B126" s="10"/>
      <c r="D126" s="10"/>
      <c r="E126" s="11" t="s">
        <v>1271</v>
      </c>
      <c r="F126" s="10"/>
      <c r="G126" s="11" t="s">
        <v>933</v>
      </c>
      <c r="H126" s="11">
        <v>1</v>
      </c>
      <c r="I126" s="11" t="s">
        <v>183</v>
      </c>
      <c r="J126" s="12">
        <v>500</v>
      </c>
      <c r="K126" s="12">
        <v>500</v>
      </c>
      <c r="L126" s="10"/>
      <c r="M126" s="10"/>
      <c r="N126" s="12">
        <v>500</v>
      </c>
      <c r="O126" s="12">
        <v>500</v>
      </c>
      <c r="P126" s="12">
        <v>500</v>
      </c>
      <c r="Q126" s="11" t="s">
        <v>922</v>
      </c>
      <c r="R126" s="10"/>
    </row>
    <row r="127" spans="1:18" x14ac:dyDescent="0.3">
      <c r="A127" s="8">
        <v>46132</v>
      </c>
      <c r="B127" s="10"/>
      <c r="D127" s="11" t="s">
        <v>71</v>
      </c>
      <c r="E127" s="11" t="s">
        <v>1263</v>
      </c>
      <c r="F127" s="10"/>
      <c r="G127" s="11" t="s">
        <v>907</v>
      </c>
      <c r="H127" s="11">
        <v>1</v>
      </c>
      <c r="I127" s="11" t="s">
        <v>77</v>
      </c>
      <c r="J127" s="12">
        <v>350</v>
      </c>
      <c r="K127" s="12">
        <v>350</v>
      </c>
      <c r="L127" s="10"/>
      <c r="M127" s="10"/>
      <c r="N127" s="12">
        <v>350</v>
      </c>
      <c r="O127" s="12">
        <v>174.49</v>
      </c>
      <c r="P127" s="12">
        <v>174.49</v>
      </c>
      <c r="Q127" s="12">
        <v>175.51</v>
      </c>
      <c r="R127" s="10"/>
    </row>
    <row r="128" spans="1:18" x14ac:dyDescent="0.3">
      <c r="A128" s="8">
        <v>46132</v>
      </c>
      <c r="B128" s="10"/>
      <c r="D128" s="11" t="s">
        <v>71</v>
      </c>
      <c r="E128" s="11" t="s">
        <v>1272</v>
      </c>
      <c r="F128" s="10"/>
      <c r="G128" s="11" t="s">
        <v>907</v>
      </c>
      <c r="H128" s="11">
        <v>1</v>
      </c>
      <c r="I128" s="11" t="s">
        <v>1191</v>
      </c>
      <c r="J128" s="12">
        <v>250</v>
      </c>
      <c r="K128" s="12">
        <v>250</v>
      </c>
      <c r="L128" s="10"/>
      <c r="M128" s="10"/>
      <c r="N128" s="12">
        <v>250</v>
      </c>
      <c r="O128" s="12">
        <v>102.22</v>
      </c>
      <c r="P128" s="12">
        <v>102.22</v>
      </c>
      <c r="Q128" s="12">
        <v>147.78</v>
      </c>
      <c r="R128" s="10"/>
    </row>
    <row r="129" spans="1:18" x14ac:dyDescent="0.3">
      <c r="A129" s="8">
        <v>46132</v>
      </c>
      <c r="B129" s="10"/>
      <c r="D129" s="11" t="s">
        <v>71</v>
      </c>
      <c r="E129" s="11" t="s">
        <v>1273</v>
      </c>
      <c r="F129" s="10"/>
      <c r="G129" s="11" t="s">
        <v>907</v>
      </c>
      <c r="H129" s="11">
        <v>1</v>
      </c>
      <c r="I129" s="11" t="s">
        <v>77</v>
      </c>
      <c r="J129" s="12">
        <v>350</v>
      </c>
      <c r="K129" s="12">
        <v>350</v>
      </c>
      <c r="L129" s="10"/>
      <c r="M129" s="10"/>
      <c r="N129" s="12">
        <v>350</v>
      </c>
      <c r="O129" s="12">
        <v>174.49</v>
      </c>
      <c r="P129" s="12">
        <v>174.49</v>
      </c>
      <c r="Q129" s="12">
        <v>175.51</v>
      </c>
      <c r="R129" s="10"/>
    </row>
    <row r="130" spans="1:18" x14ac:dyDescent="0.3">
      <c r="A130" s="8">
        <v>46132</v>
      </c>
      <c r="B130" s="10"/>
      <c r="D130" s="11" t="s">
        <v>71</v>
      </c>
      <c r="E130" s="11" t="s">
        <v>1274</v>
      </c>
      <c r="F130" s="10"/>
      <c r="G130" s="11" t="s">
        <v>907</v>
      </c>
      <c r="H130" s="11">
        <v>1</v>
      </c>
      <c r="I130" s="11" t="s">
        <v>77</v>
      </c>
      <c r="J130" s="12">
        <v>350</v>
      </c>
      <c r="K130" s="12">
        <v>350</v>
      </c>
      <c r="L130" s="10"/>
      <c r="M130" s="10"/>
      <c r="N130" s="12">
        <v>350</v>
      </c>
      <c r="O130" s="12">
        <v>174.49</v>
      </c>
      <c r="P130" s="12">
        <v>174.49</v>
      </c>
      <c r="Q130" s="12">
        <v>175.51</v>
      </c>
      <c r="R130" s="10"/>
    </row>
    <row r="131" spans="1:18" x14ac:dyDescent="0.3">
      <c r="A131" s="8">
        <v>46132</v>
      </c>
      <c r="B131" s="10"/>
      <c r="D131" s="11" t="s">
        <v>71</v>
      </c>
      <c r="E131" s="11" t="s">
        <v>1275</v>
      </c>
      <c r="F131" s="10"/>
      <c r="G131" s="11" t="s">
        <v>625</v>
      </c>
      <c r="H131" s="11">
        <v>3</v>
      </c>
      <c r="I131" s="11" t="s">
        <v>626</v>
      </c>
      <c r="J131" s="12">
        <v>3224</v>
      </c>
      <c r="K131" s="12">
        <v>9672</v>
      </c>
      <c r="L131" s="12">
        <v>8635.7099999999991</v>
      </c>
      <c r="M131" s="12">
        <v>1036.29</v>
      </c>
      <c r="N131" s="10"/>
      <c r="O131" s="12">
        <v>2110</v>
      </c>
      <c r="P131" s="12">
        <v>6330</v>
      </c>
      <c r="Q131" s="12">
        <v>3342</v>
      </c>
      <c r="R131" s="10"/>
    </row>
    <row r="132" spans="1:18" x14ac:dyDescent="0.3">
      <c r="A132" s="8">
        <v>46132</v>
      </c>
      <c r="B132" s="10"/>
      <c r="D132" s="11" t="s">
        <v>1276</v>
      </c>
      <c r="E132" s="11" t="s">
        <v>996</v>
      </c>
      <c r="F132" s="10"/>
      <c r="G132" s="11" t="s">
        <v>907</v>
      </c>
      <c r="H132" s="11">
        <v>2</v>
      </c>
      <c r="I132" s="11" t="s">
        <v>100</v>
      </c>
      <c r="J132" s="12">
        <v>5500</v>
      </c>
      <c r="K132" s="12">
        <v>11000</v>
      </c>
      <c r="L132" s="10"/>
      <c r="M132" s="10"/>
      <c r="N132" s="12">
        <v>11000</v>
      </c>
      <c r="O132" s="12">
        <v>3731.54</v>
      </c>
      <c r="P132" s="12">
        <v>7463.08</v>
      </c>
      <c r="Q132" s="12">
        <v>3536.92</v>
      </c>
      <c r="R132" s="10"/>
    </row>
    <row r="133" spans="1:18" x14ac:dyDescent="0.3">
      <c r="A133" s="8">
        <v>46132</v>
      </c>
      <c r="B133" s="10"/>
      <c r="D133" s="11" t="s">
        <v>1276</v>
      </c>
      <c r="E133" s="11" t="s">
        <v>996</v>
      </c>
      <c r="F133" s="10"/>
      <c r="G133" s="11" t="s">
        <v>940</v>
      </c>
      <c r="H133" s="11">
        <v>6</v>
      </c>
      <c r="I133" s="11" t="s">
        <v>74</v>
      </c>
      <c r="J133" s="12">
        <v>300</v>
      </c>
      <c r="K133" s="12">
        <v>1800</v>
      </c>
      <c r="L133" s="12">
        <v>1607.14</v>
      </c>
      <c r="M133" s="12">
        <v>192.86</v>
      </c>
      <c r="N133" s="10"/>
      <c r="O133" s="12">
        <v>84.68</v>
      </c>
      <c r="P133" s="12">
        <v>508.08</v>
      </c>
      <c r="Q133" s="12">
        <v>1291.92</v>
      </c>
      <c r="R133" s="11" t="s">
        <v>52</v>
      </c>
    </row>
    <row r="134" spans="1:18" x14ac:dyDescent="0.3">
      <c r="A134" s="8">
        <v>46132</v>
      </c>
      <c r="B134" s="10"/>
      <c r="D134" s="11" t="s">
        <v>1276</v>
      </c>
      <c r="E134" s="11" t="s">
        <v>996</v>
      </c>
      <c r="F134" s="10"/>
      <c r="G134" s="11" t="s">
        <v>933</v>
      </c>
      <c r="H134" s="11">
        <v>1</v>
      </c>
      <c r="I134" s="10"/>
      <c r="J134" s="12">
        <v>1000</v>
      </c>
      <c r="K134" s="12">
        <v>1000</v>
      </c>
      <c r="L134" s="12">
        <v>892.86</v>
      </c>
      <c r="M134" s="12">
        <v>107.14</v>
      </c>
      <c r="N134" s="10"/>
      <c r="O134" s="12">
        <v>950</v>
      </c>
      <c r="P134" s="12">
        <v>950</v>
      </c>
      <c r="Q134" s="12">
        <v>50</v>
      </c>
      <c r="R134" s="11" t="s">
        <v>52</v>
      </c>
    </row>
    <row r="135" spans="1:18" x14ac:dyDescent="0.3">
      <c r="A135" s="8">
        <v>46132</v>
      </c>
      <c r="B135" s="10"/>
      <c r="D135" s="11" t="s">
        <v>1277</v>
      </c>
      <c r="E135" s="11" t="s">
        <v>943</v>
      </c>
      <c r="F135" s="10"/>
      <c r="G135" s="11" t="s">
        <v>973</v>
      </c>
      <c r="H135" s="11">
        <v>1</v>
      </c>
      <c r="I135" s="11" t="s">
        <v>74</v>
      </c>
      <c r="J135" s="12">
        <v>300</v>
      </c>
      <c r="K135" s="12">
        <v>300</v>
      </c>
      <c r="L135" s="12">
        <v>267.86</v>
      </c>
      <c r="M135" s="12">
        <v>32.14</v>
      </c>
      <c r="N135" s="10"/>
      <c r="O135" s="12">
        <v>39.200000000000003</v>
      </c>
      <c r="P135" s="12">
        <v>39.200000000000003</v>
      </c>
      <c r="Q135" s="12">
        <v>260.8</v>
      </c>
      <c r="R135" s="11" t="s">
        <v>51</v>
      </c>
    </row>
    <row r="136" spans="1:18" x14ac:dyDescent="0.3">
      <c r="A136" s="8">
        <v>46132</v>
      </c>
      <c r="B136" s="10"/>
      <c r="D136" s="11" t="s">
        <v>1277</v>
      </c>
      <c r="E136" s="11" t="s">
        <v>943</v>
      </c>
      <c r="F136" s="10"/>
      <c r="G136" t="s">
        <v>975</v>
      </c>
      <c r="H136" s="11">
        <v>2</v>
      </c>
      <c r="I136" s="11" t="s">
        <v>130</v>
      </c>
      <c r="J136" s="12">
        <v>150</v>
      </c>
      <c r="K136" s="12">
        <v>300</v>
      </c>
      <c r="L136" s="12">
        <v>267.86</v>
      </c>
      <c r="M136" s="12">
        <v>32.14</v>
      </c>
      <c r="N136" s="10"/>
      <c r="O136" s="12">
        <v>7.28</v>
      </c>
      <c r="P136" s="12">
        <v>14.56</v>
      </c>
      <c r="Q136" s="12">
        <v>285.44</v>
      </c>
      <c r="R136" s="11" t="s">
        <v>51</v>
      </c>
    </row>
    <row r="137" spans="1:18" x14ac:dyDescent="0.3">
      <c r="A137" s="8">
        <v>46132</v>
      </c>
      <c r="B137" s="10"/>
      <c r="D137" s="11" t="s">
        <v>645</v>
      </c>
      <c r="E137" s="11" t="s">
        <v>943</v>
      </c>
      <c r="F137" s="10"/>
      <c r="G137" s="11" t="s">
        <v>907</v>
      </c>
      <c r="H137" s="11">
        <v>2</v>
      </c>
      <c r="I137" s="11" t="s">
        <v>91</v>
      </c>
      <c r="J137" s="12">
        <v>5500</v>
      </c>
      <c r="K137" s="12">
        <v>11000</v>
      </c>
      <c r="L137" s="10"/>
      <c r="M137" s="10"/>
      <c r="N137" s="12">
        <v>11000</v>
      </c>
      <c r="O137" s="12">
        <v>3731.54</v>
      </c>
      <c r="P137" s="12">
        <v>7463.08</v>
      </c>
      <c r="Q137" s="12">
        <v>3536.92</v>
      </c>
      <c r="R137" s="11" t="s">
        <v>51</v>
      </c>
    </row>
    <row r="138" spans="1:18" x14ac:dyDescent="0.3">
      <c r="A138" s="8">
        <v>46132</v>
      </c>
      <c r="B138" s="10"/>
      <c r="D138" s="11" t="s">
        <v>1277</v>
      </c>
      <c r="E138" s="11" t="s">
        <v>943</v>
      </c>
      <c r="F138" s="10"/>
      <c r="G138" s="11" t="s">
        <v>255</v>
      </c>
      <c r="H138" s="11">
        <v>1</v>
      </c>
      <c r="I138" s="11" t="s">
        <v>220</v>
      </c>
      <c r="J138" s="12">
        <v>6250</v>
      </c>
      <c r="K138" s="12">
        <v>6250</v>
      </c>
      <c r="L138" s="12">
        <v>5580.36</v>
      </c>
      <c r="M138" s="12">
        <v>669.64</v>
      </c>
      <c r="N138" s="10"/>
      <c r="O138" s="12">
        <v>4140</v>
      </c>
      <c r="P138" s="12">
        <v>4140</v>
      </c>
      <c r="Q138" s="12">
        <v>2110</v>
      </c>
      <c r="R138" s="11" t="s">
        <v>51</v>
      </c>
    </row>
    <row r="139" spans="1:18" x14ac:dyDescent="0.3">
      <c r="A139" s="8">
        <v>46133</v>
      </c>
      <c r="B139" s="10"/>
      <c r="D139" s="11" t="s">
        <v>71</v>
      </c>
      <c r="E139" s="11" t="s">
        <v>1278</v>
      </c>
      <c r="F139" s="10"/>
      <c r="G139" s="11" t="s">
        <v>907</v>
      </c>
      <c r="H139" s="11">
        <v>1</v>
      </c>
      <c r="I139" s="11" t="s">
        <v>77</v>
      </c>
      <c r="J139" s="12">
        <v>350</v>
      </c>
      <c r="K139" s="12">
        <v>350</v>
      </c>
      <c r="L139" s="10"/>
      <c r="M139" s="10"/>
      <c r="N139" s="12">
        <v>350</v>
      </c>
      <c r="O139" s="12">
        <v>174.49</v>
      </c>
      <c r="P139" s="12">
        <v>174.49</v>
      </c>
      <c r="Q139" s="12">
        <v>175.51</v>
      </c>
      <c r="R139" s="10"/>
    </row>
    <row r="140" spans="1:18" x14ac:dyDescent="0.3">
      <c r="A140" s="8">
        <v>46133</v>
      </c>
      <c r="B140" s="10"/>
      <c r="D140" s="11" t="s">
        <v>71</v>
      </c>
      <c r="E140" s="11" t="s">
        <v>1279</v>
      </c>
      <c r="F140" s="10"/>
      <c r="G140" s="11" t="s">
        <v>940</v>
      </c>
      <c r="H140" s="11">
        <v>1</v>
      </c>
      <c r="I140" s="11" t="s">
        <v>86</v>
      </c>
      <c r="J140" s="12">
        <v>300</v>
      </c>
      <c r="K140" s="12">
        <v>300</v>
      </c>
      <c r="L140" s="12">
        <v>267.86</v>
      </c>
      <c r="M140" s="12">
        <v>32.14</v>
      </c>
      <c r="N140" s="10"/>
      <c r="O140" s="12">
        <v>84.68</v>
      </c>
      <c r="P140" s="12">
        <v>84.68</v>
      </c>
      <c r="Q140" s="12">
        <v>215.32</v>
      </c>
      <c r="R140" s="10"/>
    </row>
    <row r="141" spans="1:18" x14ac:dyDescent="0.3">
      <c r="A141" s="8">
        <v>46133</v>
      </c>
      <c r="B141" s="10"/>
      <c r="D141" s="11" t="s">
        <v>71</v>
      </c>
      <c r="E141" s="11" t="s">
        <v>1171</v>
      </c>
      <c r="F141" s="10"/>
      <c r="G141" s="11" t="s">
        <v>73</v>
      </c>
      <c r="H141" s="11">
        <v>2</v>
      </c>
      <c r="I141" s="11" t="s">
        <v>74</v>
      </c>
      <c r="J141" s="12">
        <v>690</v>
      </c>
      <c r="K141" s="12">
        <v>1380</v>
      </c>
      <c r="L141" s="12">
        <v>1232.1400000000001</v>
      </c>
      <c r="M141" s="12">
        <v>147.86000000000001</v>
      </c>
      <c r="N141" s="10"/>
      <c r="O141" s="12">
        <v>430</v>
      </c>
      <c r="P141" s="12">
        <v>860</v>
      </c>
      <c r="Q141" s="12">
        <v>520</v>
      </c>
      <c r="R141" s="10"/>
    </row>
    <row r="142" spans="1:18" x14ac:dyDescent="0.3">
      <c r="A142" s="8">
        <v>46133</v>
      </c>
      <c r="B142" s="10"/>
      <c r="D142" s="11" t="s">
        <v>71</v>
      </c>
      <c r="E142" s="11" t="s">
        <v>1280</v>
      </c>
      <c r="F142" s="10"/>
      <c r="G142" s="11" t="s">
        <v>625</v>
      </c>
      <c r="H142" s="11">
        <v>1</v>
      </c>
      <c r="I142" s="11" t="s">
        <v>74</v>
      </c>
      <c r="J142" s="12">
        <v>3224</v>
      </c>
      <c r="K142" s="12">
        <v>3224</v>
      </c>
      <c r="L142" s="12">
        <v>2878.57</v>
      </c>
      <c r="M142" s="12">
        <v>345.43</v>
      </c>
      <c r="N142" s="10"/>
      <c r="O142" s="12">
        <v>2110</v>
      </c>
      <c r="P142" s="12">
        <v>2110</v>
      </c>
      <c r="Q142" s="12">
        <v>1114</v>
      </c>
      <c r="R142" s="10"/>
    </row>
    <row r="143" spans="1:18" x14ac:dyDescent="0.3">
      <c r="A143" s="8">
        <v>46133</v>
      </c>
      <c r="B143" s="10"/>
      <c r="D143" s="11" t="s">
        <v>71</v>
      </c>
      <c r="E143" s="11" t="s">
        <v>1281</v>
      </c>
      <c r="F143" s="10"/>
      <c r="G143" s="11" t="s">
        <v>73</v>
      </c>
      <c r="H143" s="11">
        <v>1</v>
      </c>
      <c r="I143" s="11" t="s">
        <v>74</v>
      </c>
      <c r="J143" s="12">
        <v>690</v>
      </c>
      <c r="K143" s="12">
        <v>690</v>
      </c>
      <c r="L143" s="12">
        <v>616.07000000000005</v>
      </c>
      <c r="M143" s="12">
        <v>73.930000000000007</v>
      </c>
      <c r="N143" s="10"/>
      <c r="O143" s="12">
        <v>430</v>
      </c>
      <c r="P143" s="12">
        <v>430</v>
      </c>
      <c r="Q143" s="12">
        <v>260</v>
      </c>
      <c r="R143" s="10"/>
    </row>
    <row r="144" spans="1:18" x14ac:dyDescent="0.3">
      <c r="A144" s="8">
        <v>46133</v>
      </c>
      <c r="B144" s="10"/>
      <c r="D144" s="10"/>
      <c r="E144" s="11" t="s">
        <v>1074</v>
      </c>
      <c r="F144" s="10"/>
      <c r="G144" s="11" t="s">
        <v>907</v>
      </c>
      <c r="H144" s="11">
        <v>5</v>
      </c>
      <c r="I144" s="11" t="s">
        <v>91</v>
      </c>
      <c r="J144" s="12">
        <v>5250</v>
      </c>
      <c r="K144" s="12">
        <v>26250</v>
      </c>
      <c r="L144" s="10"/>
      <c r="M144" s="10"/>
      <c r="N144" s="12">
        <v>26250</v>
      </c>
      <c r="O144" s="12">
        <v>3731.54</v>
      </c>
      <c r="P144" s="12">
        <v>18657.7</v>
      </c>
      <c r="Q144" s="12">
        <v>7592.3</v>
      </c>
      <c r="R144" s="11" t="s">
        <v>51</v>
      </c>
    </row>
    <row r="145" spans="1:18" x14ac:dyDescent="0.3">
      <c r="A145" s="8">
        <v>46133</v>
      </c>
      <c r="B145" s="10"/>
      <c r="D145" s="10"/>
      <c r="E145" s="11" t="s">
        <v>1074</v>
      </c>
      <c r="F145" s="10"/>
      <c r="G145" s="11" t="s">
        <v>907</v>
      </c>
      <c r="H145" s="11">
        <v>128</v>
      </c>
      <c r="I145" s="11" t="s">
        <v>77</v>
      </c>
      <c r="J145" s="12">
        <v>230</v>
      </c>
      <c r="K145" s="12">
        <v>29440</v>
      </c>
      <c r="L145" s="10"/>
      <c r="M145" s="10"/>
      <c r="N145" s="12">
        <v>29440</v>
      </c>
      <c r="O145" s="12">
        <v>174.49</v>
      </c>
      <c r="P145" s="12">
        <v>22334.720000000001</v>
      </c>
      <c r="Q145" s="12">
        <v>7105.28</v>
      </c>
      <c r="R145" s="11" t="s">
        <v>51</v>
      </c>
    </row>
    <row r="146" spans="1:18" x14ac:dyDescent="0.3">
      <c r="A146" s="8">
        <v>46133</v>
      </c>
      <c r="B146" s="10"/>
      <c r="D146" s="10"/>
      <c r="E146" s="11" t="s">
        <v>1074</v>
      </c>
      <c r="F146" s="10"/>
      <c r="G146" s="11" t="s">
        <v>933</v>
      </c>
      <c r="H146" s="11">
        <v>1</v>
      </c>
      <c r="I146" s="11" t="s">
        <v>183</v>
      </c>
      <c r="J146" s="12">
        <v>4506.09</v>
      </c>
      <c r="K146" s="12">
        <v>4506.09</v>
      </c>
      <c r="L146" s="12">
        <v>4023.29</v>
      </c>
      <c r="M146" s="12">
        <v>482.8</v>
      </c>
      <c r="N146" s="10"/>
      <c r="O146" s="12">
        <v>4506.09</v>
      </c>
      <c r="P146" s="12">
        <v>4506.09</v>
      </c>
      <c r="Q146" s="11" t="s">
        <v>922</v>
      </c>
      <c r="R146" s="11" t="s">
        <v>51</v>
      </c>
    </row>
    <row r="147" spans="1:18" x14ac:dyDescent="0.3">
      <c r="A147" s="8">
        <v>46134</v>
      </c>
      <c r="B147" s="10"/>
      <c r="D147" s="10"/>
      <c r="E147" s="11" t="s">
        <v>1282</v>
      </c>
      <c r="F147" s="10"/>
      <c r="G147" s="11" t="s">
        <v>907</v>
      </c>
      <c r="H147" s="11">
        <v>19</v>
      </c>
      <c r="I147" s="11" t="s">
        <v>77</v>
      </c>
      <c r="J147" s="12">
        <v>289.48</v>
      </c>
      <c r="K147" s="12">
        <v>5500.03</v>
      </c>
      <c r="L147" s="10"/>
      <c r="M147" s="10"/>
      <c r="N147" s="12">
        <v>5500.03</v>
      </c>
      <c r="O147" s="12">
        <v>174.49</v>
      </c>
      <c r="P147" s="12">
        <v>3315.31</v>
      </c>
      <c r="Q147" s="12">
        <v>2184.7199999999998</v>
      </c>
      <c r="R147" s="11" t="s">
        <v>52</v>
      </c>
    </row>
    <row r="148" spans="1:18" x14ac:dyDescent="0.3">
      <c r="A148" s="8">
        <v>46134</v>
      </c>
      <c r="B148" s="10"/>
      <c r="D148" s="11" t="s">
        <v>71</v>
      </c>
      <c r="E148" s="11" t="s">
        <v>1222</v>
      </c>
      <c r="F148" s="10"/>
      <c r="G148" s="11" t="s">
        <v>73</v>
      </c>
      <c r="H148" s="11">
        <v>5</v>
      </c>
      <c r="I148" s="11" t="s">
        <v>74</v>
      </c>
      <c r="J148" s="12">
        <v>690</v>
      </c>
      <c r="K148" s="12">
        <v>3450</v>
      </c>
      <c r="L148" s="12">
        <v>3080.36</v>
      </c>
      <c r="M148" s="12">
        <v>369.64</v>
      </c>
      <c r="N148" s="10"/>
      <c r="O148" s="12">
        <v>430</v>
      </c>
      <c r="P148" s="12">
        <v>2150</v>
      </c>
      <c r="Q148" s="12">
        <v>1300</v>
      </c>
      <c r="R148" s="10"/>
    </row>
    <row r="149" spans="1:18" x14ac:dyDescent="0.3">
      <c r="A149" s="8">
        <v>46134</v>
      </c>
      <c r="B149" s="10"/>
      <c r="D149" s="11" t="s">
        <v>71</v>
      </c>
      <c r="E149" s="11" t="s">
        <v>646</v>
      </c>
      <c r="F149" s="10"/>
      <c r="G149" s="11" t="s">
        <v>907</v>
      </c>
      <c r="H149" s="11">
        <v>5</v>
      </c>
      <c r="I149" s="11" t="s">
        <v>77</v>
      </c>
      <c r="J149" s="12">
        <v>350</v>
      </c>
      <c r="K149" s="12">
        <v>1750</v>
      </c>
      <c r="L149" s="10"/>
      <c r="M149" s="10"/>
      <c r="N149" s="12">
        <v>1750</v>
      </c>
      <c r="O149" s="12">
        <v>174.49</v>
      </c>
      <c r="P149" s="12">
        <v>872.45</v>
      </c>
      <c r="Q149" s="12">
        <v>877.55</v>
      </c>
      <c r="R149" s="10"/>
    </row>
    <row r="150" spans="1:18" x14ac:dyDescent="0.3">
      <c r="A150" s="8">
        <v>46134</v>
      </c>
      <c r="B150" s="10"/>
      <c r="D150" s="11" t="s">
        <v>71</v>
      </c>
      <c r="E150" s="11" t="s">
        <v>1283</v>
      </c>
      <c r="F150" s="10"/>
      <c r="G150" s="11" t="s">
        <v>907</v>
      </c>
      <c r="H150" s="11">
        <v>1</v>
      </c>
      <c r="I150" s="11" t="s">
        <v>77</v>
      </c>
      <c r="J150" s="12">
        <v>350</v>
      </c>
      <c r="K150" s="12">
        <v>350</v>
      </c>
      <c r="L150" s="10"/>
      <c r="M150" s="10"/>
      <c r="N150" s="12">
        <v>350</v>
      </c>
      <c r="O150" s="12">
        <v>174.49</v>
      </c>
      <c r="P150" s="12">
        <v>174.49</v>
      </c>
      <c r="Q150" s="12">
        <v>175.51</v>
      </c>
      <c r="R150" s="10"/>
    </row>
    <row r="151" spans="1:18" x14ac:dyDescent="0.3">
      <c r="A151" s="8">
        <v>46134</v>
      </c>
      <c r="B151" s="10"/>
      <c r="D151" s="11" t="s">
        <v>71</v>
      </c>
      <c r="E151" s="11" t="s">
        <v>1284</v>
      </c>
      <c r="F151" s="10"/>
      <c r="G151" s="11" t="s">
        <v>907</v>
      </c>
      <c r="H151" s="11">
        <v>1</v>
      </c>
      <c r="I151" s="11" t="s">
        <v>77</v>
      </c>
      <c r="J151" s="12">
        <v>350</v>
      </c>
      <c r="K151" s="12">
        <v>350</v>
      </c>
      <c r="L151" s="10"/>
      <c r="M151" s="10"/>
      <c r="N151" s="12">
        <v>350</v>
      </c>
      <c r="O151" s="12">
        <v>174.49</v>
      </c>
      <c r="P151" s="12">
        <v>174.49</v>
      </c>
      <c r="Q151" s="12">
        <v>175.51</v>
      </c>
      <c r="R151" s="10"/>
    </row>
    <row r="152" spans="1:18" x14ac:dyDescent="0.3">
      <c r="A152" s="8">
        <v>46134</v>
      </c>
      <c r="B152" s="10"/>
      <c r="D152" s="10"/>
      <c r="E152" s="11" t="s">
        <v>1285</v>
      </c>
      <c r="F152" s="10"/>
      <c r="G152" s="11" t="s">
        <v>907</v>
      </c>
      <c r="H152" s="11">
        <v>3</v>
      </c>
      <c r="I152" s="11" t="s">
        <v>91</v>
      </c>
      <c r="J152" s="12">
        <v>6000</v>
      </c>
      <c r="K152" s="12">
        <v>18000</v>
      </c>
      <c r="L152" s="10"/>
      <c r="M152" s="10"/>
      <c r="N152" s="12">
        <v>18000</v>
      </c>
      <c r="O152" s="12">
        <v>3731.54</v>
      </c>
      <c r="P152" s="12">
        <v>11194.62</v>
      </c>
      <c r="Q152" s="12">
        <v>6805.38</v>
      </c>
      <c r="R152" s="11" t="s">
        <v>52</v>
      </c>
    </row>
    <row r="153" spans="1:18" x14ac:dyDescent="0.3">
      <c r="A153" s="8">
        <v>46134</v>
      </c>
      <c r="B153" s="10"/>
      <c r="D153" s="10"/>
      <c r="E153" s="11" t="s">
        <v>1285</v>
      </c>
      <c r="F153" s="10"/>
      <c r="G153" s="11" t="s">
        <v>933</v>
      </c>
      <c r="H153" s="11">
        <v>1</v>
      </c>
      <c r="I153" s="11" t="s">
        <v>183</v>
      </c>
      <c r="J153" s="12">
        <v>1500</v>
      </c>
      <c r="K153" s="12">
        <v>1500</v>
      </c>
      <c r="L153" s="10"/>
      <c r="M153" s="10"/>
      <c r="N153" s="12">
        <v>1500</v>
      </c>
      <c r="O153" s="12">
        <v>1269.6400000000001</v>
      </c>
      <c r="P153" s="12">
        <v>1269.6400000000001</v>
      </c>
      <c r="Q153" s="12">
        <v>230.36</v>
      </c>
      <c r="R153" s="11" t="s">
        <v>52</v>
      </c>
    </row>
    <row r="154" spans="1:18" x14ac:dyDescent="0.3">
      <c r="A154" s="8">
        <v>46135</v>
      </c>
      <c r="B154" s="10"/>
      <c r="D154" s="11" t="s">
        <v>1286</v>
      </c>
      <c r="E154" s="11" t="s">
        <v>1287</v>
      </c>
      <c r="F154" s="10"/>
      <c r="G154" s="11" t="s">
        <v>921</v>
      </c>
      <c r="H154" s="11">
        <v>2</v>
      </c>
      <c r="I154" s="11" t="s">
        <v>86</v>
      </c>
      <c r="J154" s="12">
        <v>65000</v>
      </c>
      <c r="K154" s="12">
        <v>130000</v>
      </c>
      <c r="L154" s="12">
        <v>116071.43</v>
      </c>
      <c r="M154" s="12">
        <v>13928.57</v>
      </c>
      <c r="N154" s="10"/>
      <c r="O154" s="12">
        <v>32953.57</v>
      </c>
      <c r="P154" s="12">
        <v>65907.14</v>
      </c>
      <c r="Q154" s="12">
        <v>64092.86</v>
      </c>
      <c r="R154" s="11" t="s">
        <v>52</v>
      </c>
    </row>
    <row r="155" spans="1:18" x14ac:dyDescent="0.3">
      <c r="A155" s="8">
        <v>46135</v>
      </c>
      <c r="B155" s="10"/>
      <c r="D155" s="11" t="s">
        <v>1286</v>
      </c>
      <c r="E155" s="11" t="s">
        <v>1287</v>
      </c>
      <c r="F155" s="10"/>
      <c r="G155" s="11" t="s">
        <v>1288</v>
      </c>
      <c r="H155" s="11">
        <v>4</v>
      </c>
      <c r="I155" s="11" t="s">
        <v>130</v>
      </c>
      <c r="J155" s="12">
        <v>5500</v>
      </c>
      <c r="K155" s="12">
        <v>22000</v>
      </c>
      <c r="L155" s="12">
        <v>19642.86</v>
      </c>
      <c r="M155" s="12">
        <v>2357.14</v>
      </c>
      <c r="N155" s="10"/>
      <c r="O155" s="12">
        <v>2875.88</v>
      </c>
      <c r="P155" s="12">
        <v>11503.52</v>
      </c>
      <c r="Q155" s="12">
        <v>10496.48</v>
      </c>
      <c r="R155" s="11" t="s">
        <v>52</v>
      </c>
    </row>
    <row r="156" spans="1:18" x14ac:dyDescent="0.3">
      <c r="A156" s="8">
        <v>46135</v>
      </c>
      <c r="B156" s="10"/>
      <c r="D156" s="11" t="s">
        <v>71</v>
      </c>
      <c r="E156" s="11" t="s">
        <v>1180</v>
      </c>
      <c r="F156" s="10"/>
      <c r="G156" s="11" t="s">
        <v>907</v>
      </c>
      <c r="H156" s="11">
        <v>1</v>
      </c>
      <c r="I156" s="11" t="s">
        <v>77</v>
      </c>
      <c r="J156" s="12">
        <v>350</v>
      </c>
      <c r="K156" s="12">
        <v>350</v>
      </c>
      <c r="L156" s="10"/>
      <c r="M156" s="10"/>
      <c r="N156" s="12">
        <v>350</v>
      </c>
      <c r="O156" s="12">
        <v>174.49</v>
      </c>
      <c r="P156" s="12">
        <v>174.49</v>
      </c>
      <c r="Q156" s="12">
        <v>175.51</v>
      </c>
      <c r="R156" s="10"/>
    </row>
    <row r="157" spans="1:18" x14ac:dyDescent="0.3">
      <c r="A157" s="8">
        <v>46135</v>
      </c>
      <c r="B157" s="10"/>
      <c r="D157" s="11" t="s">
        <v>71</v>
      </c>
      <c r="E157" s="11" t="s">
        <v>1024</v>
      </c>
      <c r="F157" s="10"/>
      <c r="G157" s="11" t="s">
        <v>907</v>
      </c>
      <c r="H157" s="11">
        <v>2</v>
      </c>
      <c r="I157" s="11" t="s">
        <v>77</v>
      </c>
      <c r="J157" s="12">
        <v>350</v>
      </c>
      <c r="K157" s="12">
        <v>700</v>
      </c>
      <c r="L157" s="10"/>
      <c r="M157" s="10"/>
      <c r="N157" s="12">
        <v>700</v>
      </c>
      <c r="O157" s="12">
        <v>174.49</v>
      </c>
      <c r="P157" s="12">
        <v>348.98</v>
      </c>
      <c r="Q157" s="12">
        <v>351.02</v>
      </c>
      <c r="R157" s="10"/>
    </row>
    <row r="158" spans="1:18" x14ac:dyDescent="0.3">
      <c r="A158" s="8">
        <v>46135</v>
      </c>
      <c r="B158" s="10"/>
      <c r="D158" s="11" t="s">
        <v>71</v>
      </c>
      <c r="E158" s="11" t="s">
        <v>1289</v>
      </c>
      <c r="F158" s="10"/>
      <c r="G158" s="11" t="s">
        <v>907</v>
      </c>
      <c r="H158" s="11">
        <v>2</v>
      </c>
      <c r="I158" s="11" t="s">
        <v>77</v>
      </c>
      <c r="J158" s="12">
        <v>350</v>
      </c>
      <c r="K158" s="12">
        <v>700</v>
      </c>
      <c r="L158" s="10"/>
      <c r="M158" s="10"/>
      <c r="N158" s="12">
        <v>700</v>
      </c>
      <c r="O158" s="12">
        <v>174.49</v>
      </c>
      <c r="P158" s="12">
        <v>348.98</v>
      </c>
      <c r="Q158" s="12">
        <v>351.02</v>
      </c>
      <c r="R158" s="10"/>
    </row>
    <row r="159" spans="1:18" x14ac:dyDescent="0.3">
      <c r="A159" s="8">
        <v>46135</v>
      </c>
      <c r="B159" s="10"/>
      <c r="D159" s="11" t="s">
        <v>71</v>
      </c>
      <c r="E159" s="11" t="s">
        <v>1290</v>
      </c>
      <c r="F159" s="10"/>
      <c r="G159" s="11" t="s">
        <v>907</v>
      </c>
      <c r="H159" s="11">
        <v>3</v>
      </c>
      <c r="I159" s="11" t="s">
        <v>77</v>
      </c>
      <c r="J159" s="12">
        <v>350</v>
      </c>
      <c r="K159" s="12">
        <v>1050</v>
      </c>
      <c r="L159" s="10"/>
      <c r="M159" s="10"/>
      <c r="N159" s="12">
        <v>1050</v>
      </c>
      <c r="O159" s="12">
        <v>174.49</v>
      </c>
      <c r="P159" s="12">
        <v>523.47</v>
      </c>
      <c r="Q159" s="12">
        <v>526.53</v>
      </c>
      <c r="R159" s="10"/>
    </row>
    <row r="160" spans="1:18" x14ac:dyDescent="0.3">
      <c r="A160" s="8">
        <v>46135</v>
      </c>
      <c r="B160" s="10"/>
      <c r="D160" s="11" t="s">
        <v>71</v>
      </c>
      <c r="E160" s="11" t="s">
        <v>1259</v>
      </c>
      <c r="F160" s="10"/>
      <c r="G160" s="11" t="s">
        <v>907</v>
      </c>
      <c r="H160" s="11">
        <v>3</v>
      </c>
      <c r="I160" s="11" t="s">
        <v>77</v>
      </c>
      <c r="J160" s="12">
        <v>350</v>
      </c>
      <c r="K160" s="12">
        <v>1050</v>
      </c>
      <c r="L160" s="10"/>
      <c r="M160" s="10"/>
      <c r="N160" s="12">
        <v>1050</v>
      </c>
      <c r="O160" s="12">
        <v>174.49</v>
      </c>
      <c r="P160" s="12">
        <v>523.47</v>
      </c>
      <c r="Q160" s="12">
        <v>526.53</v>
      </c>
      <c r="R160" s="10"/>
    </row>
    <row r="161" spans="1:18" x14ac:dyDescent="0.3">
      <c r="A161" s="8">
        <v>46135</v>
      </c>
      <c r="B161" s="10"/>
      <c r="D161" s="11" t="s">
        <v>71</v>
      </c>
      <c r="E161" s="11" t="s">
        <v>1291</v>
      </c>
      <c r="F161" s="10"/>
      <c r="G161" s="11" t="s">
        <v>625</v>
      </c>
      <c r="H161" s="11">
        <v>1</v>
      </c>
      <c r="I161" s="11" t="s">
        <v>74</v>
      </c>
      <c r="J161" s="12">
        <v>3224</v>
      </c>
      <c r="K161" s="12">
        <v>3224</v>
      </c>
      <c r="L161" s="12">
        <v>2878.57</v>
      </c>
      <c r="M161" s="12">
        <v>345.43</v>
      </c>
      <c r="N161" s="10"/>
      <c r="O161" s="12">
        <v>2110</v>
      </c>
      <c r="P161" s="12">
        <v>2110</v>
      </c>
      <c r="Q161" s="12">
        <v>1114</v>
      </c>
      <c r="R161" s="10"/>
    </row>
    <row r="162" spans="1:18" x14ac:dyDescent="0.3">
      <c r="A162" s="8">
        <v>46135</v>
      </c>
      <c r="B162" s="10"/>
      <c r="D162" s="11" t="s">
        <v>71</v>
      </c>
      <c r="E162" s="11" t="s">
        <v>1291</v>
      </c>
      <c r="F162" s="10"/>
      <c r="G162" s="11" t="s">
        <v>625</v>
      </c>
      <c r="H162" s="11">
        <v>1</v>
      </c>
      <c r="I162" s="11" t="s">
        <v>74</v>
      </c>
      <c r="J162" s="12">
        <v>3224</v>
      </c>
      <c r="K162" s="12">
        <v>3224</v>
      </c>
      <c r="L162" s="12">
        <v>2878.57</v>
      </c>
      <c r="M162" s="12">
        <v>345.43</v>
      </c>
      <c r="N162" s="10"/>
      <c r="O162" s="12">
        <v>2110</v>
      </c>
      <c r="P162" s="12">
        <v>2110</v>
      </c>
      <c r="Q162" s="12">
        <v>1114</v>
      </c>
      <c r="R162" s="10"/>
    </row>
    <row r="163" spans="1:18" x14ac:dyDescent="0.3">
      <c r="A163" s="8">
        <v>46135</v>
      </c>
      <c r="B163" s="10"/>
      <c r="D163" s="10"/>
      <c r="E163" s="11" t="s">
        <v>1241</v>
      </c>
      <c r="F163" s="10"/>
      <c r="G163" s="11" t="s">
        <v>907</v>
      </c>
      <c r="H163" s="11">
        <v>50</v>
      </c>
      <c r="I163" s="11" t="s">
        <v>77</v>
      </c>
      <c r="J163" s="12">
        <v>300</v>
      </c>
      <c r="K163" s="12">
        <v>15000</v>
      </c>
      <c r="L163" s="10"/>
      <c r="M163" s="10"/>
      <c r="N163" s="12">
        <v>15000</v>
      </c>
      <c r="O163" s="12">
        <v>174.49</v>
      </c>
      <c r="P163" s="12">
        <v>8724.5</v>
      </c>
      <c r="Q163" s="12">
        <v>6275.5</v>
      </c>
      <c r="R163" s="11" t="s">
        <v>52</v>
      </c>
    </row>
    <row r="164" spans="1:18" x14ac:dyDescent="0.3">
      <c r="A164" s="8">
        <v>46135</v>
      </c>
      <c r="B164" s="10"/>
      <c r="D164" s="11" t="s">
        <v>915</v>
      </c>
      <c r="E164" s="11" t="s">
        <v>647</v>
      </c>
      <c r="F164" s="10"/>
      <c r="G164" s="11" t="s">
        <v>907</v>
      </c>
      <c r="H164" s="11">
        <v>32</v>
      </c>
      <c r="I164" s="11" t="s">
        <v>77</v>
      </c>
      <c r="J164" s="12">
        <v>280</v>
      </c>
      <c r="K164" s="12">
        <v>8960</v>
      </c>
      <c r="L164" s="10"/>
      <c r="M164" s="10"/>
      <c r="N164" s="12">
        <v>8960</v>
      </c>
      <c r="O164" s="12">
        <v>174.49</v>
      </c>
      <c r="P164" s="12">
        <v>5583.68</v>
      </c>
      <c r="Q164" s="12">
        <v>3376.32</v>
      </c>
      <c r="R164" s="11" t="s">
        <v>52</v>
      </c>
    </row>
    <row r="165" spans="1:18" x14ac:dyDescent="0.3">
      <c r="A165" s="8">
        <v>46135</v>
      </c>
      <c r="B165" s="10"/>
      <c r="D165" s="11" t="s">
        <v>71</v>
      </c>
      <c r="E165" s="11" t="s">
        <v>1218</v>
      </c>
      <c r="F165" s="10"/>
      <c r="G165" s="11" t="s">
        <v>907</v>
      </c>
      <c r="H165" s="11">
        <v>2</v>
      </c>
      <c r="I165" s="11" t="s">
        <v>77</v>
      </c>
      <c r="J165" s="12">
        <v>350</v>
      </c>
      <c r="K165" s="12">
        <v>700</v>
      </c>
      <c r="L165" s="10"/>
      <c r="M165" s="10"/>
      <c r="N165" s="12">
        <v>700</v>
      </c>
      <c r="O165" s="12">
        <v>174.49</v>
      </c>
      <c r="P165" s="12">
        <v>348.98</v>
      </c>
      <c r="Q165" s="12">
        <v>351.02</v>
      </c>
      <c r="R165" s="10"/>
    </row>
    <row r="166" spans="1:18" x14ac:dyDescent="0.3">
      <c r="A166" s="8">
        <v>46136</v>
      </c>
      <c r="B166" s="10"/>
      <c r="D166" s="11" t="s">
        <v>71</v>
      </c>
      <c r="E166" s="11" t="s">
        <v>1292</v>
      </c>
      <c r="F166" s="10"/>
      <c r="G166" s="11" t="s">
        <v>907</v>
      </c>
      <c r="H166" s="11">
        <v>6</v>
      </c>
      <c r="I166" s="11" t="s">
        <v>77</v>
      </c>
      <c r="J166" s="12">
        <v>350</v>
      </c>
      <c r="K166" s="12">
        <v>2100</v>
      </c>
      <c r="L166" s="10"/>
      <c r="M166" s="10"/>
      <c r="N166" s="12">
        <v>2100</v>
      </c>
      <c r="O166" s="12">
        <v>174.49</v>
      </c>
      <c r="P166" s="12">
        <v>1046.94</v>
      </c>
      <c r="Q166" s="12">
        <v>1053.06</v>
      </c>
      <c r="R166" s="10"/>
    </row>
    <row r="167" spans="1:18" x14ac:dyDescent="0.3">
      <c r="A167" s="8">
        <v>46136</v>
      </c>
      <c r="B167" s="10"/>
      <c r="D167" s="11" t="s">
        <v>71</v>
      </c>
      <c r="E167" s="11" t="s">
        <v>1293</v>
      </c>
      <c r="F167" s="10"/>
      <c r="G167" s="11" t="s">
        <v>907</v>
      </c>
      <c r="H167" s="11">
        <v>1</v>
      </c>
      <c r="I167" s="11" t="s">
        <v>77</v>
      </c>
      <c r="J167" s="12">
        <v>350</v>
      </c>
      <c r="K167" s="12">
        <v>350</v>
      </c>
      <c r="L167" s="10"/>
      <c r="M167" s="10"/>
      <c r="N167" s="12">
        <v>350</v>
      </c>
      <c r="O167" s="12">
        <v>174.49</v>
      </c>
      <c r="P167" s="12">
        <v>174.49</v>
      </c>
      <c r="Q167" s="12">
        <v>175.51</v>
      </c>
      <c r="R167" s="10"/>
    </row>
    <row r="168" spans="1:18" x14ac:dyDescent="0.3">
      <c r="A168" s="8">
        <v>46136</v>
      </c>
      <c r="B168" s="10"/>
      <c r="D168" s="11" t="s">
        <v>71</v>
      </c>
      <c r="E168" s="11" t="s">
        <v>1291</v>
      </c>
      <c r="F168" s="10"/>
      <c r="G168" s="11" t="s">
        <v>625</v>
      </c>
      <c r="H168" s="11">
        <v>1</v>
      </c>
      <c r="I168" s="11" t="s">
        <v>626</v>
      </c>
      <c r="J168" s="12">
        <v>3224</v>
      </c>
      <c r="K168" s="12">
        <v>3224</v>
      </c>
      <c r="L168" s="12">
        <v>2878.57</v>
      </c>
      <c r="M168" s="12">
        <v>345.43</v>
      </c>
      <c r="N168" s="10"/>
      <c r="O168" s="12">
        <v>2110</v>
      </c>
      <c r="P168" s="12">
        <v>2110</v>
      </c>
      <c r="Q168" s="12">
        <v>1114</v>
      </c>
      <c r="R168" s="10"/>
    </row>
    <row r="169" spans="1:18" x14ac:dyDescent="0.3">
      <c r="A169" s="8">
        <v>46136</v>
      </c>
      <c r="B169" s="10"/>
      <c r="D169" s="11" t="s">
        <v>71</v>
      </c>
      <c r="E169" s="11" t="s">
        <v>1291</v>
      </c>
      <c r="F169" s="10"/>
      <c r="G169" s="11" t="s">
        <v>625</v>
      </c>
      <c r="H169" s="11">
        <v>1</v>
      </c>
      <c r="I169" s="11" t="s">
        <v>626</v>
      </c>
      <c r="J169" s="12">
        <v>3224</v>
      </c>
      <c r="K169" s="12">
        <v>3224</v>
      </c>
      <c r="L169" s="12">
        <v>2878.57</v>
      </c>
      <c r="M169" s="12">
        <v>345.43</v>
      </c>
      <c r="N169" s="10"/>
      <c r="O169" s="12">
        <v>2110</v>
      </c>
      <c r="P169" s="12">
        <v>2110</v>
      </c>
      <c r="Q169" s="12">
        <v>1114</v>
      </c>
      <c r="R169" s="10"/>
    </row>
    <row r="170" spans="1:18" x14ac:dyDescent="0.3">
      <c r="A170" s="8">
        <v>46136</v>
      </c>
      <c r="B170" s="10"/>
      <c r="D170" s="11" t="s">
        <v>71</v>
      </c>
      <c r="E170" s="11" t="s">
        <v>1291</v>
      </c>
      <c r="F170" s="10"/>
      <c r="G170" s="11" t="s">
        <v>625</v>
      </c>
      <c r="H170" s="11">
        <v>1</v>
      </c>
      <c r="I170" s="11" t="s">
        <v>626</v>
      </c>
      <c r="J170" s="12">
        <v>3224</v>
      </c>
      <c r="K170" s="12">
        <v>3224</v>
      </c>
      <c r="L170" s="12">
        <v>2878.57</v>
      </c>
      <c r="M170" s="12">
        <v>345.43</v>
      </c>
      <c r="N170" s="10"/>
      <c r="O170" s="12">
        <v>2110</v>
      </c>
      <c r="P170" s="12">
        <v>2110</v>
      </c>
      <c r="Q170" s="12">
        <v>1114</v>
      </c>
      <c r="R170" s="10"/>
    </row>
    <row r="171" spans="1:18" x14ac:dyDescent="0.3">
      <c r="A171" s="8">
        <v>46136</v>
      </c>
      <c r="B171" s="10"/>
      <c r="D171" s="11" t="s">
        <v>71</v>
      </c>
      <c r="E171" s="11" t="s">
        <v>1291</v>
      </c>
      <c r="F171" s="10"/>
      <c r="G171" s="11" t="s">
        <v>625</v>
      </c>
      <c r="H171" s="11">
        <v>1</v>
      </c>
      <c r="I171" s="11" t="s">
        <v>626</v>
      </c>
      <c r="J171" s="12">
        <v>3224</v>
      </c>
      <c r="K171" s="12">
        <v>3224</v>
      </c>
      <c r="L171" s="12">
        <v>2878.57</v>
      </c>
      <c r="M171" s="12">
        <v>345.43</v>
      </c>
      <c r="N171" s="10"/>
      <c r="O171" s="12">
        <v>2110</v>
      </c>
      <c r="P171" s="12">
        <v>2110</v>
      </c>
      <c r="Q171" s="12">
        <v>1114</v>
      </c>
      <c r="R171" s="10"/>
    </row>
    <row r="172" spans="1:18" x14ac:dyDescent="0.3">
      <c r="A172" s="8">
        <v>46136</v>
      </c>
      <c r="B172" s="10"/>
      <c r="D172" s="11" t="s">
        <v>71</v>
      </c>
      <c r="E172" s="11" t="s">
        <v>1291</v>
      </c>
      <c r="F172" s="10"/>
      <c r="G172" s="11" t="s">
        <v>625</v>
      </c>
      <c r="H172" s="11">
        <v>1</v>
      </c>
      <c r="I172" s="11" t="s">
        <v>626</v>
      </c>
      <c r="J172" s="12">
        <v>3224</v>
      </c>
      <c r="K172" s="12">
        <v>3224</v>
      </c>
      <c r="L172" s="12">
        <v>2878.57</v>
      </c>
      <c r="M172" s="12">
        <v>345.43</v>
      </c>
      <c r="N172" s="10"/>
      <c r="O172" s="12">
        <v>2110</v>
      </c>
      <c r="P172" s="12">
        <v>2110</v>
      </c>
      <c r="Q172" s="12">
        <v>1114</v>
      </c>
      <c r="R172" s="10"/>
    </row>
    <row r="173" spans="1:18" x14ac:dyDescent="0.3">
      <c r="A173" s="8">
        <v>46136</v>
      </c>
      <c r="B173" s="10"/>
      <c r="D173" s="11" t="s">
        <v>1294</v>
      </c>
      <c r="E173" s="11" t="s">
        <v>1145</v>
      </c>
      <c r="F173" s="10"/>
      <c r="G173" s="11" t="s">
        <v>111</v>
      </c>
      <c r="H173" s="11">
        <v>1</v>
      </c>
      <c r="I173" s="11" t="s">
        <v>74</v>
      </c>
      <c r="J173" s="12">
        <v>1249</v>
      </c>
      <c r="K173" s="12">
        <v>1249</v>
      </c>
      <c r="L173" s="12">
        <v>1115.18</v>
      </c>
      <c r="M173" s="12">
        <v>133.82</v>
      </c>
      <c r="N173" s="10"/>
      <c r="O173" s="12">
        <v>870</v>
      </c>
      <c r="P173" s="12">
        <v>870</v>
      </c>
      <c r="Q173" s="12">
        <v>379</v>
      </c>
      <c r="R173" s="10"/>
    </row>
    <row r="174" spans="1:18" x14ac:dyDescent="0.3">
      <c r="A174" s="8">
        <v>46137</v>
      </c>
      <c r="B174" s="10"/>
      <c r="D174" s="11" t="s">
        <v>89</v>
      </c>
      <c r="E174" s="11" t="s">
        <v>952</v>
      </c>
      <c r="F174" s="10"/>
      <c r="G174" s="11" t="s">
        <v>907</v>
      </c>
      <c r="H174" s="11">
        <v>128</v>
      </c>
      <c r="I174" s="11" t="s">
        <v>77</v>
      </c>
      <c r="J174" s="12">
        <v>250</v>
      </c>
      <c r="K174" s="12">
        <v>32000</v>
      </c>
      <c r="L174" s="10"/>
      <c r="M174" s="10"/>
      <c r="N174" s="12">
        <v>32000</v>
      </c>
      <c r="O174" s="12">
        <v>174.49</v>
      </c>
      <c r="P174" s="12">
        <v>22334.720000000001</v>
      </c>
      <c r="Q174" s="12">
        <v>9665.2800000000007</v>
      </c>
      <c r="R174" s="11" t="s">
        <v>52</v>
      </c>
    </row>
    <row r="175" spans="1:18" x14ac:dyDescent="0.3">
      <c r="A175" s="8">
        <v>46137</v>
      </c>
      <c r="B175" s="10"/>
      <c r="D175" s="11" t="s">
        <v>71</v>
      </c>
      <c r="E175" s="11" t="s">
        <v>1263</v>
      </c>
      <c r="F175" s="10"/>
      <c r="G175" s="11" t="s">
        <v>907</v>
      </c>
      <c r="H175" s="11">
        <v>1</v>
      </c>
      <c r="I175" s="11" t="s">
        <v>77</v>
      </c>
      <c r="J175" s="12">
        <v>350</v>
      </c>
      <c r="K175" s="12">
        <v>350</v>
      </c>
      <c r="L175" s="10"/>
      <c r="M175" s="10"/>
      <c r="N175" s="12">
        <v>350</v>
      </c>
      <c r="O175" s="12">
        <v>174.49</v>
      </c>
      <c r="P175" s="12">
        <v>174.49</v>
      </c>
      <c r="Q175" s="12">
        <v>175.51</v>
      </c>
      <c r="R175" s="10"/>
    </row>
    <row r="176" spans="1:18" x14ac:dyDescent="0.3">
      <c r="A176" s="8">
        <v>46137</v>
      </c>
      <c r="B176" s="10"/>
      <c r="D176" s="11" t="s">
        <v>71</v>
      </c>
      <c r="E176" s="11" t="s">
        <v>918</v>
      </c>
      <c r="F176" s="10"/>
      <c r="G176" s="11" t="s">
        <v>907</v>
      </c>
      <c r="H176" s="11">
        <v>3</v>
      </c>
      <c r="I176" s="11" t="s">
        <v>77</v>
      </c>
      <c r="J176" s="12">
        <v>350</v>
      </c>
      <c r="K176" s="12">
        <v>1050</v>
      </c>
      <c r="L176" s="10"/>
      <c r="M176" s="10"/>
      <c r="N176" s="12">
        <v>1050</v>
      </c>
      <c r="O176" s="10"/>
      <c r="P176" s="11" t="s">
        <v>922</v>
      </c>
      <c r="Q176" s="12">
        <v>1050</v>
      </c>
      <c r="R176" s="10"/>
    </row>
    <row r="177" spans="1:18" x14ac:dyDescent="0.3">
      <c r="A177" s="8">
        <v>46139</v>
      </c>
      <c r="B177" s="10"/>
      <c r="D177" s="11" t="s">
        <v>71</v>
      </c>
      <c r="E177" s="11" t="s">
        <v>1107</v>
      </c>
      <c r="F177" s="10"/>
      <c r="G177" s="11" t="s">
        <v>907</v>
      </c>
      <c r="H177" s="11">
        <v>1</v>
      </c>
      <c r="I177" s="11" t="s">
        <v>77</v>
      </c>
      <c r="J177" s="12">
        <v>350</v>
      </c>
      <c r="K177" s="12">
        <v>350</v>
      </c>
      <c r="L177" s="10"/>
      <c r="M177" s="10"/>
      <c r="N177" s="12">
        <v>350</v>
      </c>
      <c r="O177" s="12">
        <v>174.49</v>
      </c>
      <c r="P177" s="12">
        <v>174.49</v>
      </c>
      <c r="Q177" s="12">
        <v>175.51</v>
      </c>
      <c r="R177" s="10"/>
    </row>
    <row r="178" spans="1:18" x14ac:dyDescent="0.3">
      <c r="A178" s="8">
        <v>46139</v>
      </c>
      <c r="B178" s="10"/>
      <c r="D178" s="11" t="s">
        <v>71</v>
      </c>
      <c r="E178" s="11" t="s">
        <v>648</v>
      </c>
      <c r="F178" s="10"/>
      <c r="G178" s="11" t="s">
        <v>907</v>
      </c>
      <c r="H178" s="11">
        <v>2</v>
      </c>
      <c r="I178" s="11" t="s">
        <v>77</v>
      </c>
      <c r="J178" s="12">
        <v>350</v>
      </c>
      <c r="K178" s="12">
        <v>700</v>
      </c>
      <c r="L178" s="10"/>
      <c r="M178" s="10"/>
      <c r="N178" s="12">
        <v>700</v>
      </c>
      <c r="O178" s="12">
        <v>174.49</v>
      </c>
      <c r="P178" s="12">
        <v>348.98</v>
      </c>
      <c r="Q178" s="12">
        <v>351.02</v>
      </c>
      <c r="R178" s="10"/>
    </row>
    <row r="179" spans="1:18" x14ac:dyDescent="0.3">
      <c r="A179" s="8">
        <v>46139</v>
      </c>
      <c r="B179" s="10"/>
      <c r="D179" s="11" t="s">
        <v>71</v>
      </c>
      <c r="E179" s="11" t="s">
        <v>1059</v>
      </c>
      <c r="F179" s="10"/>
      <c r="G179" s="11" t="s">
        <v>73</v>
      </c>
      <c r="H179" s="11">
        <v>5</v>
      </c>
      <c r="I179" s="11" t="s">
        <v>74</v>
      </c>
      <c r="J179" s="12">
        <v>690</v>
      </c>
      <c r="K179" s="12">
        <v>3450</v>
      </c>
      <c r="L179" s="12">
        <v>3080.36</v>
      </c>
      <c r="M179" s="12">
        <v>369.64</v>
      </c>
      <c r="N179" s="10"/>
      <c r="O179" s="12">
        <v>430</v>
      </c>
      <c r="P179" s="12">
        <v>2150</v>
      </c>
      <c r="Q179" s="12">
        <v>1300</v>
      </c>
      <c r="R179" s="10"/>
    </row>
    <row r="180" spans="1:18" x14ac:dyDescent="0.3">
      <c r="A180" s="8">
        <v>46139</v>
      </c>
      <c r="B180" s="10"/>
      <c r="D180" s="11" t="s">
        <v>71</v>
      </c>
      <c r="E180" s="11" t="s">
        <v>1295</v>
      </c>
      <c r="F180" s="10"/>
      <c r="G180" s="11" t="s">
        <v>899</v>
      </c>
      <c r="H180" s="11">
        <v>2</v>
      </c>
      <c r="I180" s="11" t="s">
        <v>649</v>
      </c>
      <c r="J180" s="12">
        <v>560</v>
      </c>
      <c r="K180" s="12">
        <v>1120</v>
      </c>
      <c r="L180" s="12">
        <v>1000</v>
      </c>
      <c r="M180" s="12">
        <v>120</v>
      </c>
      <c r="N180" s="10"/>
      <c r="O180" s="12">
        <v>268.49</v>
      </c>
      <c r="P180" s="12">
        <v>536.98</v>
      </c>
      <c r="Q180" s="12">
        <v>583.02</v>
      </c>
      <c r="R180" s="10"/>
    </row>
    <row r="181" spans="1:18" x14ac:dyDescent="0.3">
      <c r="A181" s="8">
        <v>46139</v>
      </c>
      <c r="B181" s="10"/>
      <c r="D181" s="11" t="s">
        <v>71</v>
      </c>
      <c r="E181" s="11" t="s">
        <v>1296</v>
      </c>
      <c r="F181" s="10"/>
      <c r="G181" s="11" t="s">
        <v>907</v>
      </c>
      <c r="H181" s="11">
        <v>1</v>
      </c>
      <c r="I181" s="11" t="s">
        <v>77</v>
      </c>
      <c r="J181" s="12">
        <v>350</v>
      </c>
      <c r="K181" s="12">
        <v>350</v>
      </c>
      <c r="L181" s="10"/>
      <c r="M181" s="10"/>
      <c r="N181" s="12">
        <v>350</v>
      </c>
      <c r="O181" s="12">
        <v>174.49</v>
      </c>
      <c r="P181" s="12">
        <v>174.49</v>
      </c>
      <c r="Q181" s="12">
        <v>175.51</v>
      </c>
      <c r="R181" s="10"/>
    </row>
    <row r="182" spans="1:18" x14ac:dyDescent="0.3">
      <c r="A182" s="8">
        <v>46139</v>
      </c>
      <c r="B182" s="10"/>
      <c r="D182" s="11" t="s">
        <v>71</v>
      </c>
      <c r="E182" s="11" t="s">
        <v>1190</v>
      </c>
      <c r="F182" s="10"/>
      <c r="G182" s="11" t="s">
        <v>907</v>
      </c>
      <c r="H182" s="11">
        <v>1</v>
      </c>
      <c r="I182" s="11" t="s">
        <v>77</v>
      </c>
      <c r="J182" s="12">
        <v>350</v>
      </c>
      <c r="K182" s="12">
        <v>350</v>
      </c>
      <c r="L182" s="10"/>
      <c r="M182" s="10"/>
      <c r="N182" s="12">
        <v>350</v>
      </c>
      <c r="O182" s="11">
        <v>174.49</v>
      </c>
      <c r="P182" s="11">
        <v>174.49</v>
      </c>
      <c r="Q182" s="12">
        <v>175.51</v>
      </c>
      <c r="R182" s="10"/>
    </row>
    <row r="183" spans="1:18" x14ac:dyDescent="0.3">
      <c r="A183" s="30">
        <v>46139</v>
      </c>
      <c r="B183" s="10"/>
      <c r="D183" s="11" t="s">
        <v>1297</v>
      </c>
      <c r="E183" s="11" t="s">
        <v>210</v>
      </c>
      <c r="F183" s="10"/>
      <c r="G183" s="11" t="s">
        <v>907</v>
      </c>
      <c r="H183" s="11">
        <v>32</v>
      </c>
      <c r="I183" s="11" t="s">
        <v>77</v>
      </c>
      <c r="J183" s="12">
        <v>280</v>
      </c>
      <c r="K183" s="12">
        <v>8960</v>
      </c>
      <c r="L183" s="10"/>
      <c r="M183" s="10"/>
      <c r="N183" s="12">
        <v>8960</v>
      </c>
      <c r="O183" s="11">
        <v>174.49</v>
      </c>
      <c r="P183" s="11">
        <v>5583.68</v>
      </c>
      <c r="Q183" s="12">
        <v>3376.32</v>
      </c>
      <c r="R183" s="11" t="s">
        <v>51</v>
      </c>
    </row>
    <row r="184" spans="1:18" x14ac:dyDescent="0.3">
      <c r="A184" s="30">
        <v>46139</v>
      </c>
      <c r="B184" s="10"/>
      <c r="D184" s="11" t="s">
        <v>71</v>
      </c>
      <c r="E184" s="11" t="s">
        <v>1268</v>
      </c>
      <c r="F184" s="10"/>
      <c r="G184" s="11" t="s">
        <v>907</v>
      </c>
      <c r="H184" s="11">
        <v>1</v>
      </c>
      <c r="I184" s="11" t="s">
        <v>77</v>
      </c>
      <c r="J184" s="12">
        <v>350</v>
      </c>
      <c r="K184" s="12">
        <v>350</v>
      </c>
      <c r="L184" s="10"/>
      <c r="M184" s="10"/>
      <c r="N184" s="12">
        <v>350</v>
      </c>
      <c r="O184" s="11">
        <v>174.49</v>
      </c>
      <c r="P184" s="11">
        <v>174.49</v>
      </c>
      <c r="Q184" s="12">
        <v>175.51</v>
      </c>
      <c r="R184" s="10"/>
    </row>
    <row r="185" spans="1:18" x14ac:dyDescent="0.3">
      <c r="A185" s="30">
        <v>46139</v>
      </c>
      <c r="B185" s="10"/>
      <c r="D185" s="11" t="s">
        <v>71</v>
      </c>
      <c r="E185" s="11" t="s">
        <v>1240</v>
      </c>
      <c r="F185" s="10"/>
      <c r="G185" s="11" t="s">
        <v>907</v>
      </c>
      <c r="H185" s="11">
        <v>1</v>
      </c>
      <c r="I185" s="11" t="s">
        <v>77</v>
      </c>
      <c r="J185" s="12">
        <v>350</v>
      </c>
      <c r="K185" s="12">
        <v>350</v>
      </c>
      <c r="L185" s="10"/>
      <c r="M185" s="10"/>
      <c r="N185" s="12">
        <v>350</v>
      </c>
      <c r="O185" s="11">
        <v>174.49</v>
      </c>
      <c r="P185" s="11">
        <v>174.49</v>
      </c>
      <c r="Q185" s="12">
        <v>175.51</v>
      </c>
      <c r="R185" s="10"/>
    </row>
    <row r="186" spans="1:18" x14ac:dyDescent="0.3">
      <c r="A186" s="30">
        <v>46140</v>
      </c>
      <c r="B186" s="10" t="s">
        <v>650</v>
      </c>
      <c r="D186" s="11" t="s">
        <v>1298</v>
      </c>
      <c r="E186" s="11" t="s">
        <v>1176</v>
      </c>
      <c r="F186" s="10"/>
      <c r="G186" s="11" t="s">
        <v>907</v>
      </c>
      <c r="H186" s="11">
        <v>5</v>
      </c>
      <c r="I186" s="11" t="s">
        <v>91</v>
      </c>
      <c r="J186" s="12">
        <v>5500</v>
      </c>
      <c r="K186" s="12">
        <v>27500</v>
      </c>
      <c r="L186" s="10"/>
      <c r="M186" s="10"/>
      <c r="N186" s="12">
        <v>27500</v>
      </c>
      <c r="O186" s="11">
        <v>3731.54</v>
      </c>
      <c r="P186" s="11">
        <v>18657.7</v>
      </c>
      <c r="Q186" s="12">
        <v>8842.2999999999993</v>
      </c>
      <c r="R186" s="11" t="s">
        <v>51</v>
      </c>
    </row>
    <row r="187" spans="1:18" x14ac:dyDescent="0.3">
      <c r="A187" s="30">
        <v>46140</v>
      </c>
      <c r="B187" s="10"/>
      <c r="D187" s="10" t="s">
        <v>71</v>
      </c>
      <c r="E187" s="10" t="s">
        <v>1299</v>
      </c>
      <c r="F187" s="10"/>
      <c r="G187" s="10" t="s">
        <v>907</v>
      </c>
      <c r="H187" s="10">
        <v>4</v>
      </c>
      <c r="I187" s="10" t="s">
        <v>77</v>
      </c>
      <c r="J187" s="31">
        <v>350</v>
      </c>
      <c r="K187" s="31">
        <v>1400</v>
      </c>
      <c r="L187" s="10"/>
      <c r="M187" s="10"/>
      <c r="N187" s="31">
        <v>1400</v>
      </c>
      <c r="O187" s="31">
        <v>174.49</v>
      </c>
      <c r="P187" s="31">
        <v>697.96</v>
      </c>
      <c r="Q187" s="31">
        <v>702.04</v>
      </c>
      <c r="R187" s="10"/>
    </row>
    <row r="188" spans="1:18" x14ac:dyDescent="0.3">
      <c r="A188" s="30">
        <v>46140</v>
      </c>
      <c r="B188" s="10"/>
      <c r="D188" s="10" t="s">
        <v>71</v>
      </c>
      <c r="E188" s="11" t="s">
        <v>1300</v>
      </c>
      <c r="F188" s="10"/>
      <c r="G188" s="11" t="s">
        <v>940</v>
      </c>
      <c r="H188" s="11">
        <v>1</v>
      </c>
      <c r="I188" s="11" t="s">
        <v>268</v>
      </c>
      <c r="J188" s="12">
        <v>300</v>
      </c>
      <c r="K188" s="12">
        <v>300</v>
      </c>
      <c r="L188" s="12">
        <v>267.86</v>
      </c>
      <c r="M188" s="12">
        <v>32.14</v>
      </c>
      <c r="N188" s="10"/>
      <c r="O188" s="11">
        <v>84.68</v>
      </c>
      <c r="P188" s="11">
        <v>84.68</v>
      </c>
      <c r="Q188" s="12">
        <v>215.32</v>
      </c>
      <c r="R188" s="10"/>
    </row>
    <row r="189" spans="1:18" x14ac:dyDescent="0.3">
      <c r="A189" s="30">
        <v>46140</v>
      </c>
      <c r="B189" s="10"/>
      <c r="D189" s="10" t="s">
        <v>71</v>
      </c>
      <c r="E189" s="11" t="s">
        <v>1301</v>
      </c>
      <c r="F189" s="10"/>
      <c r="G189" s="11" t="s">
        <v>219</v>
      </c>
      <c r="H189" s="11">
        <v>1</v>
      </c>
      <c r="I189" s="11" t="s">
        <v>627</v>
      </c>
      <c r="J189" s="12">
        <v>350</v>
      </c>
      <c r="K189" s="12">
        <v>350</v>
      </c>
      <c r="L189" s="12">
        <v>312.5</v>
      </c>
      <c r="M189" s="12">
        <v>37.5</v>
      </c>
      <c r="N189" s="10"/>
      <c r="O189" s="11">
        <v>172.5</v>
      </c>
      <c r="P189" s="11">
        <v>172.5</v>
      </c>
      <c r="Q189" s="12">
        <v>177.5</v>
      </c>
      <c r="R189" s="10"/>
    </row>
    <row r="190" spans="1:18" x14ac:dyDescent="0.3">
      <c r="A190" s="30">
        <v>46140</v>
      </c>
      <c r="B190" s="10"/>
      <c r="D190" s="10" t="s">
        <v>1302</v>
      </c>
      <c r="E190" s="11" t="s">
        <v>1075</v>
      </c>
      <c r="F190" s="10"/>
      <c r="G190" s="11" t="s">
        <v>907</v>
      </c>
      <c r="H190" s="11">
        <v>20</v>
      </c>
      <c r="I190" s="11" t="s">
        <v>91</v>
      </c>
      <c r="J190" s="12">
        <v>4750</v>
      </c>
      <c r="K190" s="12">
        <v>95000</v>
      </c>
      <c r="L190" s="10"/>
      <c r="M190" s="10"/>
      <c r="N190" s="12">
        <v>95000</v>
      </c>
      <c r="O190" s="10">
        <v>3731.54</v>
      </c>
      <c r="P190" s="11">
        <v>74630.8</v>
      </c>
      <c r="Q190" s="12">
        <v>20369.2</v>
      </c>
      <c r="R190" s="11" t="s">
        <v>51</v>
      </c>
    </row>
    <row r="191" spans="1:18" x14ac:dyDescent="0.3">
      <c r="A191" s="30">
        <v>46141</v>
      </c>
      <c r="B191" s="10"/>
      <c r="D191" s="10" t="s">
        <v>71</v>
      </c>
      <c r="E191" s="11" t="s">
        <v>1188</v>
      </c>
      <c r="F191" s="10"/>
      <c r="G191" s="11" t="s">
        <v>907</v>
      </c>
      <c r="H191" s="11">
        <v>2</v>
      </c>
      <c r="I191" s="11" t="s">
        <v>77</v>
      </c>
      <c r="J191" s="12">
        <v>350</v>
      </c>
      <c r="K191" s="12">
        <v>700</v>
      </c>
      <c r="L191" s="10"/>
      <c r="M191" s="10"/>
      <c r="N191" s="12">
        <v>700</v>
      </c>
      <c r="O191" s="11">
        <v>174.49</v>
      </c>
      <c r="P191" s="11">
        <v>348.98</v>
      </c>
      <c r="Q191" s="12">
        <v>351.02</v>
      </c>
      <c r="R191" s="10"/>
    </row>
    <row r="192" spans="1:18" x14ac:dyDescent="0.3">
      <c r="A192" s="30">
        <v>46141</v>
      </c>
      <c r="B192" s="10"/>
      <c r="D192" s="10" t="s">
        <v>71</v>
      </c>
      <c r="E192" s="11" t="s">
        <v>1239</v>
      </c>
      <c r="F192" s="10"/>
      <c r="G192" s="11" t="s">
        <v>907</v>
      </c>
      <c r="H192" s="11">
        <v>1</v>
      </c>
      <c r="I192" s="11" t="s">
        <v>77</v>
      </c>
      <c r="J192" s="12">
        <v>350</v>
      </c>
      <c r="K192" s="12">
        <v>350</v>
      </c>
      <c r="L192" s="10"/>
      <c r="M192" s="10"/>
      <c r="N192" s="12">
        <v>350</v>
      </c>
      <c r="O192" s="11">
        <v>174.49</v>
      </c>
      <c r="P192" s="11">
        <v>174.49</v>
      </c>
      <c r="Q192" s="12">
        <v>175.51</v>
      </c>
      <c r="R192" s="10"/>
    </row>
    <row r="193" spans="1:18" x14ac:dyDescent="0.3">
      <c r="A193" s="30">
        <v>46141</v>
      </c>
      <c r="B193" s="10"/>
      <c r="D193" s="10" t="s">
        <v>71</v>
      </c>
      <c r="E193" s="11" t="s">
        <v>1303</v>
      </c>
      <c r="F193" s="10"/>
      <c r="G193" s="11" t="s">
        <v>1005</v>
      </c>
      <c r="H193" s="11">
        <v>2</v>
      </c>
      <c r="I193" s="11" t="s">
        <v>268</v>
      </c>
      <c r="J193" s="12">
        <v>300</v>
      </c>
      <c r="K193" s="12">
        <v>600</v>
      </c>
      <c r="L193" s="12">
        <v>535.71</v>
      </c>
      <c r="M193" s="12">
        <v>64.290000000000006</v>
      </c>
      <c r="N193" s="10"/>
      <c r="O193" s="11">
        <v>131.94999999999999</v>
      </c>
      <c r="P193" s="11">
        <v>263.89999999999998</v>
      </c>
      <c r="Q193" s="12">
        <v>336.1</v>
      </c>
      <c r="R193" s="10"/>
    </row>
    <row r="194" spans="1:18" x14ac:dyDescent="0.3">
      <c r="A194" s="30">
        <v>46141</v>
      </c>
      <c r="B194" s="10"/>
      <c r="D194" s="10" t="s">
        <v>71</v>
      </c>
      <c r="E194" s="11" t="s">
        <v>1304</v>
      </c>
      <c r="F194" s="10"/>
      <c r="G194" s="11" t="s">
        <v>907</v>
      </c>
      <c r="H194" s="11">
        <v>8</v>
      </c>
      <c r="I194" s="11" t="s">
        <v>77</v>
      </c>
      <c r="J194" s="12">
        <v>350</v>
      </c>
      <c r="K194" s="12">
        <v>2800</v>
      </c>
      <c r="L194" s="10"/>
      <c r="M194" s="10"/>
      <c r="N194" s="12">
        <v>2800</v>
      </c>
      <c r="O194" s="11">
        <v>174.49</v>
      </c>
      <c r="P194" s="11">
        <v>1395.92</v>
      </c>
      <c r="Q194" s="12">
        <v>1404.08</v>
      </c>
      <c r="R194" s="10"/>
    </row>
    <row r="195" spans="1:18" x14ac:dyDescent="0.3">
      <c r="A195" s="30">
        <v>46142</v>
      </c>
      <c r="B195" s="10"/>
      <c r="D195" s="10" t="s">
        <v>71</v>
      </c>
      <c r="E195" s="11" t="s">
        <v>1305</v>
      </c>
      <c r="F195" s="10"/>
      <c r="G195" s="11" t="s">
        <v>907</v>
      </c>
      <c r="H195" s="11">
        <v>2</v>
      </c>
      <c r="I195" s="11" t="s">
        <v>77</v>
      </c>
      <c r="J195" s="12">
        <v>350</v>
      </c>
      <c r="K195" s="12">
        <v>700</v>
      </c>
      <c r="L195" s="10"/>
      <c r="M195" s="10"/>
      <c r="N195" s="12">
        <v>700</v>
      </c>
      <c r="O195" s="11">
        <v>174.49</v>
      </c>
      <c r="P195" s="11">
        <v>348.98</v>
      </c>
      <c r="Q195" s="12">
        <v>351.02</v>
      </c>
      <c r="R195" s="10"/>
    </row>
    <row r="196" spans="1:18" x14ac:dyDescent="0.3">
      <c r="A196" s="30">
        <v>46142</v>
      </c>
      <c r="B196" s="10"/>
      <c r="D196" s="10" t="s">
        <v>71</v>
      </c>
      <c r="E196" s="11" t="s">
        <v>1233</v>
      </c>
      <c r="F196" s="10"/>
      <c r="G196" s="11" t="s">
        <v>907</v>
      </c>
      <c r="H196" s="11">
        <v>2</v>
      </c>
      <c r="I196" s="11" t="s">
        <v>77</v>
      </c>
      <c r="J196" s="12">
        <v>350</v>
      </c>
      <c r="K196" s="12">
        <v>700</v>
      </c>
      <c r="L196" s="10"/>
      <c r="M196" s="10"/>
      <c r="N196" s="12">
        <v>700</v>
      </c>
      <c r="O196" s="11">
        <v>174.49</v>
      </c>
      <c r="P196" s="11">
        <v>348.98</v>
      </c>
      <c r="Q196" s="12">
        <v>351.02</v>
      </c>
      <c r="R196" s="10"/>
    </row>
    <row r="197" spans="1:18" x14ac:dyDescent="0.3">
      <c r="A197" s="30">
        <v>46142</v>
      </c>
      <c r="B197" s="10"/>
      <c r="D197" s="10"/>
      <c r="E197" s="11" t="s">
        <v>651</v>
      </c>
      <c r="F197" s="10"/>
      <c r="G197" s="11" t="s">
        <v>921</v>
      </c>
      <c r="H197" s="11">
        <v>1</v>
      </c>
      <c r="I197" s="11" t="s">
        <v>86</v>
      </c>
      <c r="J197" s="12">
        <v>58035</v>
      </c>
      <c r="K197" s="12">
        <v>58035</v>
      </c>
      <c r="L197" s="12">
        <v>51816.959999999999</v>
      </c>
      <c r="M197" s="12">
        <v>6218.04</v>
      </c>
      <c r="N197" s="10"/>
      <c r="O197" s="11">
        <v>32953.57</v>
      </c>
      <c r="P197" s="12">
        <v>25081.43</v>
      </c>
      <c r="Q197" s="12">
        <v>32953.57</v>
      </c>
      <c r="R197" s="11" t="s">
        <v>51</v>
      </c>
    </row>
    <row r="198" spans="1:18" x14ac:dyDescent="0.3">
      <c r="A198" s="30">
        <v>46142</v>
      </c>
      <c r="B198" s="10"/>
      <c r="D198" s="10"/>
      <c r="E198" s="11" t="s">
        <v>990</v>
      </c>
      <c r="F198" s="10"/>
      <c r="G198" s="11" t="s">
        <v>907</v>
      </c>
      <c r="H198" s="11">
        <v>96</v>
      </c>
      <c r="I198" s="11" t="s">
        <v>77</v>
      </c>
      <c r="J198" s="12">
        <v>234.38</v>
      </c>
      <c r="K198" s="12">
        <v>22500</v>
      </c>
      <c r="L198" s="10"/>
      <c r="M198" s="10"/>
      <c r="N198" s="12">
        <v>22500</v>
      </c>
      <c r="O198" s="11">
        <v>174.49</v>
      </c>
      <c r="P198" s="11">
        <v>16751.04</v>
      </c>
      <c r="Q198" s="12">
        <v>5748.96</v>
      </c>
      <c r="R198" s="11" t="s">
        <v>52</v>
      </c>
    </row>
    <row r="199" spans="1:18" x14ac:dyDescent="0.3">
      <c r="A199" s="30">
        <v>46142</v>
      </c>
      <c r="B199" s="10"/>
      <c r="D199" s="10" t="s">
        <v>71</v>
      </c>
      <c r="E199" s="11" t="s">
        <v>1306</v>
      </c>
      <c r="F199" s="10"/>
      <c r="G199" s="11" t="s">
        <v>907</v>
      </c>
      <c r="H199" s="11">
        <v>1</v>
      </c>
      <c r="I199" s="11" t="s">
        <v>77</v>
      </c>
      <c r="J199" s="12">
        <v>350</v>
      </c>
      <c r="K199" s="12">
        <v>350</v>
      </c>
      <c r="L199" s="10"/>
      <c r="M199" s="10"/>
      <c r="N199" s="12">
        <v>350</v>
      </c>
      <c r="O199" s="11">
        <v>174.49</v>
      </c>
      <c r="P199" s="11">
        <v>174.49</v>
      </c>
      <c r="Q199" s="12">
        <v>175.51</v>
      </c>
      <c r="R199" s="10"/>
    </row>
    <row r="200" spans="1:18" x14ac:dyDescent="0.3">
      <c r="A200" s="30">
        <v>46142</v>
      </c>
      <c r="B200" s="10"/>
      <c r="D200" s="10" t="s">
        <v>71</v>
      </c>
      <c r="E200" s="11" t="s">
        <v>1306</v>
      </c>
      <c r="F200" s="10"/>
      <c r="G200" s="11" t="s">
        <v>940</v>
      </c>
      <c r="H200" s="11">
        <v>1</v>
      </c>
      <c r="I200" s="11" t="s">
        <v>74</v>
      </c>
      <c r="J200" s="12">
        <v>300</v>
      </c>
      <c r="K200" s="12">
        <v>300</v>
      </c>
      <c r="L200" s="12">
        <v>267.86</v>
      </c>
      <c r="M200" s="12">
        <v>32.14</v>
      </c>
      <c r="N200" s="10"/>
      <c r="O200" s="11">
        <v>84.68</v>
      </c>
      <c r="P200" s="11">
        <v>84.68</v>
      </c>
      <c r="Q200" s="12">
        <v>215.32</v>
      </c>
    </row>
    <row r="202" spans="1:18" x14ac:dyDescent="0.3">
      <c r="L202">
        <f>SUM(L2:L200)</f>
        <v>421312.61714285711</v>
      </c>
      <c r="N202" s="55">
        <f>SUM(N2:N200)</f>
        <v>1075290.03</v>
      </c>
      <c r="P202" s="55">
        <f>SUM(P2:P200)</f>
        <v>974397.83999999973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D403F-78CB-6D47-BB80-6E9874AF083C}">
  <sheetPr filterMode="1"/>
  <dimension ref="A1:X178"/>
  <sheetViews>
    <sheetView topLeftCell="C1" workbookViewId="0">
      <selection activeCell="O163" sqref="O163"/>
    </sheetView>
  </sheetViews>
  <sheetFormatPr defaultColWidth="11.5546875" defaultRowHeight="14.4" x14ac:dyDescent="0.3"/>
  <cols>
    <col min="16" max="16" width="17.6640625" customWidth="1"/>
  </cols>
  <sheetData>
    <row r="1" spans="1:24" x14ac:dyDescent="0.3">
      <c r="A1" t="s">
        <v>26</v>
      </c>
      <c r="B1" t="s">
        <v>885</v>
      </c>
      <c r="C1" t="s">
        <v>886</v>
      </c>
      <c r="D1" t="s">
        <v>887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s="24" t="s">
        <v>888</v>
      </c>
      <c r="K1" t="s">
        <v>889</v>
      </c>
      <c r="L1" t="s">
        <v>890</v>
      </c>
      <c r="M1" t="s">
        <v>891</v>
      </c>
      <c r="N1" t="s">
        <v>892</v>
      </c>
      <c r="O1" t="s">
        <v>40</v>
      </c>
      <c r="P1" t="s">
        <v>893</v>
      </c>
      <c r="Q1" t="s">
        <v>42</v>
      </c>
      <c r="R1" t="s">
        <v>43</v>
      </c>
      <c r="S1" t="s">
        <v>44</v>
      </c>
      <c r="T1" t="s">
        <v>894</v>
      </c>
      <c r="U1" t="s">
        <v>895</v>
      </c>
      <c r="V1" t="s">
        <v>47</v>
      </c>
      <c r="W1" t="s">
        <v>48</v>
      </c>
      <c r="X1" t="s">
        <v>49</v>
      </c>
    </row>
    <row r="2" spans="1:24" hidden="1" x14ac:dyDescent="0.3">
      <c r="A2" s="8">
        <v>46082</v>
      </c>
      <c r="B2" s="10"/>
      <c r="D2" s="11" t="s">
        <v>71</v>
      </c>
      <c r="E2" s="11" t="s">
        <v>1066</v>
      </c>
      <c r="F2" s="10"/>
      <c r="G2" s="11" t="s">
        <v>370</v>
      </c>
      <c r="H2" s="11">
        <v>1</v>
      </c>
      <c r="I2" s="11" t="s">
        <v>74</v>
      </c>
      <c r="J2" s="12">
        <v>1310</v>
      </c>
      <c r="K2" s="12">
        <v>1310</v>
      </c>
      <c r="L2" s="15">
        <v>1308.8</v>
      </c>
      <c r="M2" s="11">
        <v>157.06</v>
      </c>
      <c r="N2" s="10"/>
      <c r="O2" s="12">
        <v>880</v>
      </c>
      <c r="P2" s="12">
        <v>880</v>
      </c>
      <c r="Q2" s="12">
        <v>430</v>
      </c>
    </row>
    <row r="3" spans="1:24" hidden="1" x14ac:dyDescent="0.3">
      <c r="A3" s="8">
        <v>46082</v>
      </c>
      <c r="B3" s="10"/>
      <c r="D3" s="11" t="s">
        <v>71</v>
      </c>
      <c r="E3" s="11" t="s">
        <v>1067</v>
      </c>
      <c r="F3" s="10"/>
      <c r="G3" s="11" t="s">
        <v>907</v>
      </c>
      <c r="H3" s="11">
        <v>2</v>
      </c>
      <c r="I3" s="11" t="s">
        <v>77</v>
      </c>
      <c r="J3" s="12">
        <v>350</v>
      </c>
      <c r="K3" s="12">
        <v>700</v>
      </c>
      <c r="L3" s="10"/>
      <c r="M3" s="10"/>
      <c r="N3" s="12">
        <v>700</v>
      </c>
      <c r="O3" s="12">
        <v>178.31</v>
      </c>
      <c r="P3" s="12">
        <v>356.62</v>
      </c>
      <c r="Q3" s="12">
        <v>343.38</v>
      </c>
    </row>
    <row r="4" spans="1:24" hidden="1" x14ac:dyDescent="0.3">
      <c r="A4" s="8">
        <v>46082</v>
      </c>
      <c r="B4" s="10"/>
      <c r="D4" s="11" t="s">
        <v>71</v>
      </c>
      <c r="E4" s="11" t="s">
        <v>1068</v>
      </c>
      <c r="F4" s="10"/>
      <c r="G4" s="11" t="s">
        <v>897</v>
      </c>
      <c r="H4" s="11">
        <v>3</v>
      </c>
      <c r="I4" s="11" t="s">
        <v>149</v>
      </c>
      <c r="J4" s="12">
        <v>300</v>
      </c>
      <c r="K4" s="12">
        <v>900</v>
      </c>
      <c r="L4" s="11">
        <v>803.57</v>
      </c>
      <c r="M4" s="11">
        <v>96.43</v>
      </c>
      <c r="N4" s="10"/>
      <c r="O4" s="12">
        <v>119.01</v>
      </c>
      <c r="P4" s="12">
        <v>357.03</v>
      </c>
      <c r="Q4" s="12">
        <v>542.97</v>
      </c>
    </row>
    <row r="5" spans="1:24" hidden="1" x14ac:dyDescent="0.3">
      <c r="A5" s="8">
        <v>46082</v>
      </c>
      <c r="B5" s="10"/>
      <c r="D5" s="11" t="s">
        <v>71</v>
      </c>
      <c r="E5" s="11" t="s">
        <v>1069</v>
      </c>
      <c r="F5" s="10"/>
      <c r="G5" s="11" t="s">
        <v>907</v>
      </c>
      <c r="H5" s="11">
        <v>1</v>
      </c>
      <c r="I5" s="11" t="s">
        <v>77</v>
      </c>
      <c r="J5" s="12">
        <v>350</v>
      </c>
      <c r="K5" s="12">
        <v>350</v>
      </c>
      <c r="L5" s="10"/>
      <c r="M5" s="10"/>
      <c r="N5" s="12">
        <v>350</v>
      </c>
      <c r="O5" s="12">
        <v>178.31</v>
      </c>
      <c r="P5" s="12">
        <v>178.31</v>
      </c>
      <c r="Q5" s="12">
        <v>171.69</v>
      </c>
    </row>
    <row r="6" spans="1:24" hidden="1" x14ac:dyDescent="0.3">
      <c r="A6" s="8">
        <v>46083</v>
      </c>
      <c r="B6" s="10"/>
      <c r="D6" s="11" t="s">
        <v>71</v>
      </c>
      <c r="E6" s="11" t="s">
        <v>1070</v>
      </c>
      <c r="F6" s="10"/>
      <c r="G6" s="11" t="s">
        <v>907</v>
      </c>
      <c r="H6" s="11">
        <v>1</v>
      </c>
      <c r="I6" s="11" t="s">
        <v>100</v>
      </c>
      <c r="J6" s="12">
        <v>6100</v>
      </c>
      <c r="K6" s="12">
        <v>6100</v>
      </c>
      <c r="L6" s="10"/>
      <c r="M6" s="10"/>
      <c r="N6" s="12">
        <v>6100</v>
      </c>
      <c r="O6" s="12">
        <v>3731.54</v>
      </c>
      <c r="P6" s="12">
        <v>3731.54</v>
      </c>
      <c r="Q6" s="12">
        <v>2368.46</v>
      </c>
    </row>
    <row r="7" spans="1:24" hidden="1" x14ac:dyDescent="0.3">
      <c r="A7" s="8">
        <v>46083</v>
      </c>
      <c r="B7" s="10"/>
      <c r="D7" s="11" t="s">
        <v>71</v>
      </c>
      <c r="E7" s="11" t="s">
        <v>1071</v>
      </c>
      <c r="F7" s="10"/>
      <c r="G7" s="11" t="s">
        <v>907</v>
      </c>
      <c r="H7" s="11">
        <v>1</v>
      </c>
      <c r="I7" s="11" t="s">
        <v>77</v>
      </c>
      <c r="J7" s="12">
        <v>350</v>
      </c>
      <c r="K7" s="12">
        <v>350</v>
      </c>
      <c r="L7" s="10"/>
      <c r="M7" s="10"/>
      <c r="N7" s="12">
        <v>350</v>
      </c>
      <c r="O7" s="12">
        <v>178.31</v>
      </c>
      <c r="P7" s="12">
        <v>178.31</v>
      </c>
      <c r="Q7" s="12">
        <v>171.69</v>
      </c>
    </row>
    <row r="8" spans="1:24" hidden="1" x14ac:dyDescent="0.3">
      <c r="A8" s="8">
        <v>46083</v>
      </c>
      <c r="B8" s="10"/>
      <c r="D8" s="11" t="s">
        <v>915</v>
      </c>
      <c r="E8" s="11" t="s">
        <v>951</v>
      </c>
      <c r="F8" s="10"/>
      <c r="G8" s="11" t="s">
        <v>907</v>
      </c>
      <c r="H8" s="11">
        <v>1</v>
      </c>
      <c r="I8" s="11" t="s">
        <v>100</v>
      </c>
      <c r="J8" s="12">
        <v>5500</v>
      </c>
      <c r="K8" s="12">
        <v>5500</v>
      </c>
      <c r="L8" s="10"/>
      <c r="M8" s="10"/>
      <c r="N8" s="12">
        <v>5500</v>
      </c>
      <c r="O8" s="12">
        <v>3731.54</v>
      </c>
      <c r="P8" s="12">
        <v>3731.54</v>
      </c>
      <c r="Q8" s="12">
        <v>1768.46</v>
      </c>
    </row>
    <row r="9" spans="1:24" hidden="1" x14ac:dyDescent="0.3">
      <c r="A9" s="8">
        <v>46083</v>
      </c>
      <c r="B9" s="10"/>
      <c r="D9" s="11" t="s">
        <v>89</v>
      </c>
      <c r="E9" s="11" t="s">
        <v>1072</v>
      </c>
      <c r="F9" s="10"/>
      <c r="G9" s="11" t="s">
        <v>907</v>
      </c>
      <c r="H9" s="11">
        <v>1</v>
      </c>
      <c r="I9" s="11" t="s">
        <v>100</v>
      </c>
      <c r="J9" s="12">
        <v>5500</v>
      </c>
      <c r="K9" s="12">
        <v>5500</v>
      </c>
      <c r="L9" s="10"/>
      <c r="M9" s="10"/>
      <c r="N9" s="12">
        <v>5500</v>
      </c>
      <c r="O9" s="12">
        <v>3731.54</v>
      </c>
      <c r="P9" s="12">
        <v>3731.54</v>
      </c>
      <c r="Q9" s="12">
        <v>1768.46</v>
      </c>
    </row>
    <row r="10" spans="1:24" hidden="1" x14ac:dyDescent="0.3">
      <c r="A10" s="8">
        <v>46083</v>
      </c>
      <c r="B10" s="10"/>
      <c r="D10" s="11" t="s">
        <v>1073</v>
      </c>
      <c r="E10" s="11" t="s">
        <v>1074</v>
      </c>
      <c r="F10" s="10"/>
      <c r="G10" s="11" t="s">
        <v>907</v>
      </c>
      <c r="H10" s="11">
        <v>15</v>
      </c>
      <c r="I10" s="11" t="s">
        <v>91</v>
      </c>
      <c r="J10" s="12">
        <v>5250</v>
      </c>
      <c r="K10" s="12">
        <v>78750</v>
      </c>
      <c r="L10" s="10"/>
      <c r="M10" s="10"/>
      <c r="N10" s="12">
        <v>78750</v>
      </c>
      <c r="O10" s="12">
        <v>3731.54</v>
      </c>
      <c r="P10" s="12">
        <v>55973.1</v>
      </c>
      <c r="Q10" s="12">
        <v>22776.9</v>
      </c>
    </row>
    <row r="11" spans="1:24" hidden="1" x14ac:dyDescent="0.3">
      <c r="A11" s="8">
        <v>46083</v>
      </c>
      <c r="B11" s="10"/>
      <c r="D11" s="11" t="s">
        <v>1073</v>
      </c>
      <c r="E11" s="11" t="s">
        <v>1074</v>
      </c>
      <c r="F11" s="10"/>
      <c r="G11" s="11" t="s">
        <v>907</v>
      </c>
      <c r="H11" s="11">
        <v>64</v>
      </c>
      <c r="I11" s="11" t="s">
        <v>77</v>
      </c>
      <c r="J11" s="12">
        <v>230</v>
      </c>
      <c r="K11" s="12">
        <v>14720</v>
      </c>
      <c r="L11" s="10"/>
      <c r="M11" s="10"/>
      <c r="N11" s="12">
        <v>14720</v>
      </c>
      <c r="O11" s="12">
        <v>178.31</v>
      </c>
      <c r="P11" s="12">
        <v>11411.84</v>
      </c>
      <c r="Q11" s="12">
        <v>3308.16</v>
      </c>
    </row>
    <row r="12" spans="1:24" x14ac:dyDescent="0.3">
      <c r="A12" s="8">
        <v>46083</v>
      </c>
      <c r="B12" s="10"/>
      <c r="D12" s="11" t="s">
        <v>1073</v>
      </c>
      <c r="E12" s="11" t="s">
        <v>1074</v>
      </c>
      <c r="F12" s="10"/>
      <c r="G12" s="11" t="s">
        <v>933</v>
      </c>
      <c r="H12" s="11">
        <v>1</v>
      </c>
      <c r="I12" s="11" t="s">
        <v>183</v>
      </c>
      <c r="J12" s="12">
        <v>6413.05</v>
      </c>
      <c r="K12" s="12">
        <v>6413.05</v>
      </c>
      <c r="L12" s="10"/>
      <c r="M12" s="10"/>
      <c r="N12" s="12">
        <v>6413.05</v>
      </c>
      <c r="O12" s="10"/>
      <c r="P12" s="11" t="s">
        <v>922</v>
      </c>
      <c r="Q12" s="12">
        <v>6413.05</v>
      </c>
    </row>
    <row r="13" spans="1:24" hidden="1" x14ac:dyDescent="0.3">
      <c r="A13" s="8">
        <v>46083</v>
      </c>
      <c r="B13" s="10"/>
      <c r="D13" s="11" t="s">
        <v>915</v>
      </c>
      <c r="E13" s="11" t="s">
        <v>1075</v>
      </c>
      <c r="F13" s="10"/>
      <c r="G13" s="11" t="s">
        <v>907</v>
      </c>
      <c r="H13" s="11">
        <v>100</v>
      </c>
      <c r="I13" s="11" t="s">
        <v>91</v>
      </c>
      <c r="J13" s="12">
        <v>4750</v>
      </c>
      <c r="K13" s="12">
        <v>475000</v>
      </c>
      <c r="L13" s="10"/>
      <c r="M13" s="10"/>
      <c r="N13" s="12">
        <v>475000</v>
      </c>
      <c r="O13" s="12">
        <v>3731.54</v>
      </c>
      <c r="P13" s="12">
        <v>373154</v>
      </c>
      <c r="Q13" s="12">
        <v>101846</v>
      </c>
    </row>
    <row r="14" spans="1:24" hidden="1" x14ac:dyDescent="0.3">
      <c r="A14" s="8">
        <v>46084</v>
      </c>
      <c r="B14" s="10"/>
      <c r="D14" s="11" t="s">
        <v>71</v>
      </c>
      <c r="E14" s="11" t="s">
        <v>1076</v>
      </c>
      <c r="F14" s="10"/>
      <c r="G14" s="11" t="s">
        <v>907</v>
      </c>
      <c r="H14" s="11">
        <v>1</v>
      </c>
      <c r="I14" s="11" t="s">
        <v>77</v>
      </c>
      <c r="J14" s="12">
        <v>350</v>
      </c>
      <c r="K14" s="12">
        <v>350</v>
      </c>
      <c r="L14" s="10"/>
      <c r="M14" s="10"/>
      <c r="N14" s="12">
        <v>350</v>
      </c>
      <c r="O14" s="12">
        <v>178.31</v>
      </c>
      <c r="P14" s="12">
        <v>178.31</v>
      </c>
      <c r="Q14" s="12">
        <v>171.69</v>
      </c>
    </row>
    <row r="15" spans="1:24" hidden="1" x14ac:dyDescent="0.3">
      <c r="A15" s="8">
        <v>46084</v>
      </c>
      <c r="B15" s="10"/>
      <c r="D15" s="11" t="s">
        <v>71</v>
      </c>
      <c r="E15" s="11" t="s">
        <v>989</v>
      </c>
      <c r="F15" s="10"/>
      <c r="G15" s="11" t="s">
        <v>907</v>
      </c>
      <c r="H15" s="11">
        <v>1</v>
      </c>
      <c r="I15" s="11" t="s">
        <v>77</v>
      </c>
      <c r="J15" s="12">
        <v>350</v>
      </c>
      <c r="K15" s="12">
        <v>350</v>
      </c>
      <c r="L15" s="10"/>
      <c r="M15" s="10"/>
      <c r="N15" s="12">
        <v>350</v>
      </c>
      <c r="O15" s="12">
        <v>178.31</v>
      </c>
      <c r="P15" s="12">
        <v>178.31</v>
      </c>
      <c r="Q15" s="12">
        <v>171.69</v>
      </c>
    </row>
    <row r="16" spans="1:24" hidden="1" x14ac:dyDescent="0.3">
      <c r="A16" s="8">
        <v>46084</v>
      </c>
      <c r="B16" s="10"/>
      <c r="D16" s="11" t="s">
        <v>71</v>
      </c>
      <c r="E16" s="11" t="s">
        <v>1017</v>
      </c>
      <c r="F16" s="10"/>
      <c r="G16" s="11" t="s">
        <v>907</v>
      </c>
      <c r="H16" s="11">
        <v>1</v>
      </c>
      <c r="I16" s="11" t="s">
        <v>100</v>
      </c>
      <c r="J16" s="12">
        <v>6100</v>
      </c>
      <c r="K16" s="12">
        <v>6100</v>
      </c>
      <c r="L16" s="10"/>
      <c r="M16" s="10"/>
      <c r="N16" s="12">
        <v>6100</v>
      </c>
      <c r="O16" s="12">
        <v>3731.54</v>
      </c>
      <c r="P16" s="12">
        <v>3731.54</v>
      </c>
      <c r="Q16" s="12">
        <v>2368.46</v>
      </c>
    </row>
    <row r="17" spans="1:17" hidden="1" x14ac:dyDescent="0.3">
      <c r="A17" s="8">
        <v>46084</v>
      </c>
      <c r="B17" s="10"/>
      <c r="D17" s="11" t="s">
        <v>71</v>
      </c>
      <c r="E17" s="11" t="s">
        <v>1077</v>
      </c>
      <c r="F17" s="10"/>
      <c r="G17" s="11" t="s">
        <v>907</v>
      </c>
      <c r="H17" s="11">
        <v>1</v>
      </c>
      <c r="I17" s="11" t="s">
        <v>77</v>
      </c>
      <c r="J17" s="12">
        <v>350</v>
      </c>
      <c r="K17" s="12">
        <v>350</v>
      </c>
      <c r="L17" s="10"/>
      <c r="M17" s="10"/>
      <c r="N17" s="12">
        <v>350</v>
      </c>
      <c r="O17" s="12">
        <v>178.31</v>
      </c>
      <c r="P17" s="12">
        <v>178.31</v>
      </c>
      <c r="Q17" s="12">
        <v>171.69</v>
      </c>
    </row>
    <row r="18" spans="1:17" hidden="1" x14ac:dyDescent="0.3">
      <c r="A18" s="8">
        <v>46084</v>
      </c>
      <c r="B18" s="10"/>
      <c r="D18" s="11" t="s">
        <v>915</v>
      </c>
      <c r="E18" s="11" t="s">
        <v>916</v>
      </c>
      <c r="F18" s="10"/>
      <c r="G18" s="11" t="s">
        <v>219</v>
      </c>
      <c r="H18" s="11">
        <v>6</v>
      </c>
      <c r="I18" s="11" t="s">
        <v>627</v>
      </c>
      <c r="J18" s="12">
        <v>350</v>
      </c>
      <c r="K18" s="12">
        <v>2100</v>
      </c>
      <c r="L18" s="15">
        <v>1875</v>
      </c>
      <c r="M18" s="11">
        <v>225</v>
      </c>
      <c r="N18" s="10"/>
      <c r="O18" s="12">
        <v>172.5</v>
      </c>
      <c r="P18" s="12">
        <v>1035</v>
      </c>
      <c r="Q18" s="12">
        <v>1065</v>
      </c>
    </row>
    <row r="19" spans="1:17" hidden="1" x14ac:dyDescent="0.3">
      <c r="A19" s="8">
        <v>46085</v>
      </c>
      <c r="B19" s="10"/>
      <c r="D19" s="11" t="s">
        <v>71</v>
      </c>
      <c r="E19" s="11" t="s">
        <v>1078</v>
      </c>
      <c r="F19" s="10"/>
      <c r="G19" s="11" t="s">
        <v>907</v>
      </c>
      <c r="H19" s="11">
        <v>1</v>
      </c>
      <c r="I19" s="11" t="s">
        <v>100</v>
      </c>
      <c r="J19" s="12">
        <v>6100</v>
      </c>
      <c r="K19" s="12">
        <v>6100</v>
      </c>
      <c r="L19" s="10"/>
      <c r="M19" s="10"/>
      <c r="N19" s="12">
        <v>6100</v>
      </c>
      <c r="O19" s="12">
        <v>3731.54</v>
      </c>
      <c r="P19" s="12">
        <v>3731.54</v>
      </c>
      <c r="Q19" s="12">
        <v>2368.46</v>
      </c>
    </row>
    <row r="20" spans="1:17" hidden="1" x14ac:dyDescent="0.3">
      <c r="A20" s="8">
        <v>46085</v>
      </c>
      <c r="B20" s="10"/>
      <c r="D20" s="11" t="s">
        <v>71</v>
      </c>
      <c r="E20" s="11" t="s">
        <v>629</v>
      </c>
      <c r="F20" s="10"/>
      <c r="G20" s="11" t="s">
        <v>907</v>
      </c>
      <c r="H20" s="11">
        <v>1</v>
      </c>
      <c r="I20" s="11" t="s">
        <v>100</v>
      </c>
      <c r="J20" s="12">
        <v>6100</v>
      </c>
      <c r="K20" s="12">
        <v>6100</v>
      </c>
      <c r="L20" s="10"/>
      <c r="M20" s="10"/>
      <c r="N20" s="12">
        <v>6100</v>
      </c>
      <c r="O20" s="12">
        <v>3731.54</v>
      </c>
      <c r="P20" s="12">
        <v>3731.54</v>
      </c>
      <c r="Q20" s="12">
        <v>2368.46</v>
      </c>
    </row>
    <row r="21" spans="1:17" hidden="1" x14ac:dyDescent="0.3">
      <c r="A21" s="8">
        <v>46085</v>
      </c>
      <c r="B21" s="10"/>
      <c r="D21" s="11" t="s">
        <v>1079</v>
      </c>
      <c r="E21" s="11" t="s">
        <v>1080</v>
      </c>
      <c r="F21" s="10"/>
      <c r="G21" t="s">
        <v>977</v>
      </c>
      <c r="H21" s="11">
        <v>1</v>
      </c>
      <c r="I21" s="11" t="s">
        <v>268</v>
      </c>
      <c r="J21" s="12">
        <v>3000</v>
      </c>
      <c r="K21" s="12">
        <v>3000</v>
      </c>
      <c r="L21" s="15">
        <v>2678.57</v>
      </c>
      <c r="M21" s="11">
        <v>321.43</v>
      </c>
      <c r="N21" s="10"/>
      <c r="O21" s="12">
        <v>314.48</v>
      </c>
      <c r="P21" s="12">
        <v>314.48</v>
      </c>
      <c r="Q21" s="12">
        <v>2685.52</v>
      </c>
    </row>
    <row r="22" spans="1:17" hidden="1" x14ac:dyDescent="0.3">
      <c r="A22" s="8">
        <v>46085</v>
      </c>
      <c r="B22" s="10"/>
      <c r="D22" s="11" t="s">
        <v>1079</v>
      </c>
      <c r="E22" s="11" t="s">
        <v>1080</v>
      </c>
      <c r="F22" s="10"/>
      <c r="G22" t="s">
        <v>902</v>
      </c>
      <c r="H22" s="11">
        <v>4</v>
      </c>
      <c r="I22" s="11" t="s">
        <v>268</v>
      </c>
      <c r="J22" s="11">
        <v>75</v>
      </c>
      <c r="K22" s="11">
        <v>300</v>
      </c>
      <c r="L22" s="11">
        <v>267.85714285714283</v>
      </c>
      <c r="M22" s="11">
        <v>32.142857142857139</v>
      </c>
      <c r="N22" s="10"/>
      <c r="O22" s="12">
        <v>7.95</v>
      </c>
      <c r="P22" s="11">
        <v>31.8</v>
      </c>
      <c r="Q22" s="11">
        <v>268.2</v>
      </c>
    </row>
    <row r="23" spans="1:17" hidden="1" x14ac:dyDescent="0.3">
      <c r="A23" s="8">
        <v>46085</v>
      </c>
      <c r="B23" s="10"/>
      <c r="D23" s="11" t="s">
        <v>1079</v>
      </c>
      <c r="E23" s="11" t="s">
        <v>1080</v>
      </c>
      <c r="F23" s="10"/>
      <c r="G23" s="11" t="s">
        <v>1081</v>
      </c>
      <c r="H23" s="11">
        <v>4</v>
      </c>
      <c r="I23" s="11" t="s">
        <v>268</v>
      </c>
      <c r="J23" s="11">
        <v>75</v>
      </c>
      <c r="K23" s="11">
        <v>300</v>
      </c>
      <c r="L23" s="11">
        <v>267.85714285714283</v>
      </c>
      <c r="M23" s="11">
        <v>32.142857142857139</v>
      </c>
      <c r="N23" s="10"/>
      <c r="O23" s="11">
        <v>1.17</v>
      </c>
      <c r="P23" s="12">
        <v>4.68</v>
      </c>
      <c r="Q23" s="11">
        <v>295.32</v>
      </c>
    </row>
    <row r="24" spans="1:17" hidden="1" x14ac:dyDescent="0.3">
      <c r="A24" s="8">
        <v>46085</v>
      </c>
      <c r="B24" s="10"/>
      <c r="D24" s="11" t="s">
        <v>1079</v>
      </c>
      <c r="E24" s="11" t="s">
        <v>1080</v>
      </c>
      <c r="F24" s="10"/>
      <c r="G24" s="11" t="s">
        <v>107</v>
      </c>
      <c r="H24" s="11">
        <v>1</v>
      </c>
      <c r="I24" s="11" t="s">
        <v>74</v>
      </c>
      <c r="J24" s="12">
        <v>850</v>
      </c>
      <c r="K24" s="12">
        <v>850</v>
      </c>
      <c r="L24" s="11">
        <v>758.93</v>
      </c>
      <c r="M24" s="11">
        <v>91.07</v>
      </c>
      <c r="N24" s="10"/>
      <c r="O24" s="12">
        <v>583.33000000000004</v>
      </c>
      <c r="P24" s="12">
        <v>583.33000000000004</v>
      </c>
      <c r="Q24" s="12">
        <v>266.67</v>
      </c>
    </row>
    <row r="25" spans="1:17" hidden="1" x14ac:dyDescent="0.3">
      <c r="A25" s="8">
        <v>46085</v>
      </c>
      <c r="B25" s="10"/>
      <c r="D25" s="11" t="s">
        <v>1079</v>
      </c>
      <c r="E25" s="11" t="s">
        <v>1080</v>
      </c>
      <c r="F25" s="10"/>
      <c r="G25" s="11" t="s">
        <v>1082</v>
      </c>
      <c r="H25" s="11">
        <v>1</v>
      </c>
      <c r="I25" s="11" t="s">
        <v>86</v>
      </c>
      <c r="J25" s="12">
        <v>1800</v>
      </c>
      <c r="K25" s="12">
        <v>1800</v>
      </c>
      <c r="L25" s="15">
        <v>1798.8</v>
      </c>
      <c r="M25" s="11">
        <v>215.86</v>
      </c>
      <c r="N25" s="10"/>
      <c r="O25" s="12">
        <v>474.63</v>
      </c>
      <c r="P25" s="12">
        <v>474.63</v>
      </c>
      <c r="Q25" s="12">
        <v>1325.37</v>
      </c>
    </row>
    <row r="26" spans="1:17" hidden="1" x14ac:dyDescent="0.3">
      <c r="A26" s="8">
        <v>46085</v>
      </c>
      <c r="B26" s="10"/>
      <c r="D26" s="11" t="s">
        <v>1079</v>
      </c>
      <c r="E26" s="11" t="s">
        <v>1080</v>
      </c>
      <c r="F26" s="10"/>
      <c r="G26" s="11" t="s">
        <v>940</v>
      </c>
      <c r="H26" s="11">
        <v>1</v>
      </c>
      <c r="I26" s="11" t="s">
        <v>74</v>
      </c>
      <c r="J26" s="12">
        <v>300</v>
      </c>
      <c r="K26" s="12">
        <v>300</v>
      </c>
      <c r="L26" s="11">
        <v>267.86</v>
      </c>
      <c r="M26" s="11">
        <v>32.14</v>
      </c>
      <c r="N26" s="10"/>
      <c r="O26" s="12">
        <v>84.68</v>
      </c>
      <c r="P26" s="12">
        <v>84.68</v>
      </c>
      <c r="Q26" s="12">
        <v>215.32</v>
      </c>
    </row>
    <row r="27" spans="1:17" hidden="1" x14ac:dyDescent="0.3">
      <c r="A27" s="8">
        <v>46085</v>
      </c>
      <c r="B27" s="10"/>
      <c r="D27" s="11" t="s">
        <v>1079</v>
      </c>
      <c r="E27" s="11" t="s">
        <v>1080</v>
      </c>
      <c r="F27" s="10"/>
      <c r="G27" s="11" t="s">
        <v>912</v>
      </c>
      <c r="H27" s="11">
        <v>1</v>
      </c>
      <c r="I27" s="11" t="s">
        <v>268</v>
      </c>
      <c r="J27" s="12">
        <v>150</v>
      </c>
      <c r="K27" s="12">
        <v>150</v>
      </c>
      <c r="L27" s="11">
        <v>133.93</v>
      </c>
      <c r="M27" s="11">
        <v>16.07</v>
      </c>
      <c r="N27" s="10"/>
      <c r="O27" s="12">
        <v>7.34</v>
      </c>
      <c r="P27" s="12">
        <v>7.34</v>
      </c>
      <c r="Q27" s="12">
        <v>142.66</v>
      </c>
    </row>
    <row r="28" spans="1:17" hidden="1" x14ac:dyDescent="0.3">
      <c r="A28" s="8">
        <v>46085</v>
      </c>
      <c r="B28" s="10"/>
      <c r="D28" s="10"/>
      <c r="E28" s="11" t="s">
        <v>990</v>
      </c>
      <c r="F28" s="10"/>
      <c r="G28" s="11" t="s">
        <v>907</v>
      </c>
      <c r="H28" s="11">
        <v>64</v>
      </c>
      <c r="I28" s="11" t="s">
        <v>77</v>
      </c>
      <c r="J28" s="12">
        <v>234.38</v>
      </c>
      <c r="K28" s="12">
        <v>15000</v>
      </c>
      <c r="L28" s="10"/>
      <c r="M28" s="10"/>
      <c r="N28" s="12">
        <v>15000</v>
      </c>
      <c r="O28" s="12">
        <v>178.31</v>
      </c>
      <c r="P28" s="12">
        <v>11411.84</v>
      </c>
      <c r="Q28" s="12">
        <v>3588.16</v>
      </c>
    </row>
    <row r="29" spans="1:17" hidden="1" x14ac:dyDescent="0.3">
      <c r="A29" s="8">
        <v>46085</v>
      </c>
      <c r="B29" s="10"/>
      <c r="D29" s="11" t="s">
        <v>89</v>
      </c>
      <c r="E29" s="11" t="s">
        <v>976</v>
      </c>
      <c r="F29" s="10"/>
      <c r="G29" s="11" t="s">
        <v>907</v>
      </c>
      <c r="H29" s="11">
        <v>1</v>
      </c>
      <c r="I29" s="11" t="s">
        <v>100</v>
      </c>
      <c r="J29" s="12">
        <v>5500</v>
      </c>
      <c r="K29" s="12">
        <v>5500</v>
      </c>
      <c r="L29" s="10"/>
      <c r="M29" s="10"/>
      <c r="N29" s="12">
        <v>5500</v>
      </c>
      <c r="O29" s="12">
        <v>3731.54</v>
      </c>
      <c r="P29" s="12">
        <v>3731.54</v>
      </c>
      <c r="Q29" s="12">
        <v>1768.46</v>
      </c>
    </row>
    <row r="30" spans="1:17" hidden="1" x14ac:dyDescent="0.3">
      <c r="A30" s="8">
        <v>46085</v>
      </c>
      <c r="B30" s="10"/>
      <c r="D30" s="11" t="s">
        <v>71</v>
      </c>
      <c r="E30" s="11" t="s">
        <v>1083</v>
      </c>
      <c r="F30" s="10"/>
      <c r="G30" s="11" t="s">
        <v>907</v>
      </c>
      <c r="H30" s="11">
        <v>6</v>
      </c>
      <c r="I30" s="11" t="s">
        <v>77</v>
      </c>
      <c r="J30" s="12">
        <v>350</v>
      </c>
      <c r="K30" s="12">
        <v>2100</v>
      </c>
      <c r="L30" s="10"/>
      <c r="M30" s="10"/>
      <c r="N30" s="12">
        <v>2100</v>
      </c>
      <c r="O30" s="12">
        <v>178.31</v>
      </c>
      <c r="P30" s="12">
        <v>1069.8599999999999</v>
      </c>
      <c r="Q30" s="12">
        <v>1030.1400000000001</v>
      </c>
    </row>
    <row r="31" spans="1:17" hidden="1" x14ac:dyDescent="0.3">
      <c r="A31" s="8">
        <v>46085</v>
      </c>
      <c r="B31" s="10"/>
      <c r="D31" s="11" t="s">
        <v>915</v>
      </c>
      <c r="E31" s="11" t="s">
        <v>916</v>
      </c>
      <c r="F31" s="10"/>
      <c r="G31" s="11" t="s">
        <v>219</v>
      </c>
      <c r="H31" s="11">
        <v>2</v>
      </c>
      <c r="I31" s="11" t="s">
        <v>627</v>
      </c>
      <c r="J31" s="12">
        <v>350</v>
      </c>
      <c r="K31" s="12">
        <v>700</v>
      </c>
      <c r="L31" s="10"/>
      <c r="M31" s="10"/>
      <c r="N31" s="12">
        <v>700</v>
      </c>
      <c r="O31" s="12">
        <v>178.31</v>
      </c>
      <c r="P31" s="12">
        <v>356.62</v>
      </c>
      <c r="Q31" s="12">
        <v>343.38</v>
      </c>
    </row>
    <row r="32" spans="1:17" hidden="1" x14ac:dyDescent="0.3">
      <c r="A32" s="8">
        <v>46086</v>
      </c>
      <c r="B32" s="10"/>
      <c r="D32" s="11" t="s">
        <v>71</v>
      </c>
      <c r="E32" s="11" t="s">
        <v>1084</v>
      </c>
      <c r="F32" s="10"/>
      <c r="G32" s="11" t="s">
        <v>907</v>
      </c>
      <c r="H32" s="11">
        <v>1</v>
      </c>
      <c r="I32" s="11" t="s">
        <v>77</v>
      </c>
      <c r="J32" s="12">
        <v>350</v>
      </c>
      <c r="K32" s="12">
        <v>350</v>
      </c>
      <c r="L32" s="10"/>
      <c r="M32" s="10"/>
      <c r="N32" s="12">
        <v>350</v>
      </c>
      <c r="O32" s="12">
        <v>178.31</v>
      </c>
      <c r="P32" s="12">
        <v>178.31</v>
      </c>
      <c r="Q32" s="12">
        <v>171.69</v>
      </c>
    </row>
    <row r="33" spans="1:17" hidden="1" x14ac:dyDescent="0.3">
      <c r="A33" s="8">
        <v>46086</v>
      </c>
      <c r="B33" s="10"/>
      <c r="D33" s="11" t="s">
        <v>71</v>
      </c>
      <c r="E33" s="11" t="s">
        <v>1042</v>
      </c>
      <c r="F33" s="10"/>
      <c r="G33" s="11" t="s">
        <v>907</v>
      </c>
      <c r="H33" s="11">
        <v>1</v>
      </c>
      <c r="I33" s="11" t="s">
        <v>100</v>
      </c>
      <c r="J33" s="12">
        <v>6100</v>
      </c>
      <c r="K33" s="12">
        <v>6100</v>
      </c>
      <c r="L33" s="10"/>
      <c r="M33" s="10"/>
      <c r="N33" s="12">
        <v>6100</v>
      </c>
      <c r="O33" s="12">
        <v>3731.54</v>
      </c>
      <c r="P33" s="12">
        <v>3731.54</v>
      </c>
      <c r="Q33" s="12">
        <v>2368.46</v>
      </c>
    </row>
    <row r="34" spans="1:17" hidden="1" x14ac:dyDescent="0.3">
      <c r="A34" s="8">
        <v>46086</v>
      </c>
      <c r="B34" s="10"/>
      <c r="D34" s="11" t="s">
        <v>71</v>
      </c>
      <c r="E34" s="11" t="s">
        <v>918</v>
      </c>
      <c r="F34" s="10"/>
      <c r="G34" s="11" t="s">
        <v>907</v>
      </c>
      <c r="H34" s="11">
        <v>3</v>
      </c>
      <c r="I34" s="11" t="s">
        <v>77</v>
      </c>
      <c r="J34" s="12">
        <v>350</v>
      </c>
      <c r="K34" s="12">
        <v>1050</v>
      </c>
      <c r="L34" s="10"/>
      <c r="M34" s="10"/>
      <c r="N34" s="12">
        <v>1050</v>
      </c>
      <c r="O34" s="12">
        <v>178.31</v>
      </c>
      <c r="P34" s="12">
        <v>534.92999999999995</v>
      </c>
      <c r="Q34" s="12">
        <v>515.07000000000005</v>
      </c>
    </row>
    <row r="35" spans="1:17" hidden="1" x14ac:dyDescent="0.3">
      <c r="A35" s="8">
        <v>46086</v>
      </c>
      <c r="B35" s="10"/>
      <c r="D35" s="11" t="s">
        <v>71</v>
      </c>
      <c r="E35" s="11" t="s">
        <v>1085</v>
      </c>
      <c r="F35" s="10"/>
      <c r="G35" s="11" t="s">
        <v>73</v>
      </c>
      <c r="H35" s="11">
        <v>2</v>
      </c>
      <c r="I35" s="11" t="s">
        <v>234</v>
      </c>
      <c r="J35" s="12">
        <v>690</v>
      </c>
      <c r="K35" s="12">
        <v>1380</v>
      </c>
      <c r="L35" s="15">
        <v>1232.1400000000001</v>
      </c>
      <c r="M35" s="11">
        <v>147.86000000000001</v>
      </c>
      <c r="N35" s="10"/>
      <c r="O35" s="12">
        <v>395.83</v>
      </c>
      <c r="P35" s="12">
        <v>791.66</v>
      </c>
      <c r="Q35" s="12">
        <v>588.34</v>
      </c>
    </row>
    <row r="36" spans="1:17" hidden="1" x14ac:dyDescent="0.3">
      <c r="A36" s="8">
        <v>46086</v>
      </c>
      <c r="B36" s="10"/>
      <c r="D36" s="11" t="s">
        <v>89</v>
      </c>
      <c r="E36" s="11" t="s">
        <v>1086</v>
      </c>
      <c r="F36" s="10"/>
      <c r="G36" s="11" t="s">
        <v>907</v>
      </c>
      <c r="H36" s="11">
        <v>1</v>
      </c>
      <c r="I36" s="11" t="s">
        <v>100</v>
      </c>
      <c r="J36" s="12">
        <v>5250</v>
      </c>
      <c r="K36" s="12">
        <v>5250</v>
      </c>
      <c r="L36" s="10"/>
      <c r="M36" s="10"/>
      <c r="N36" s="12">
        <v>5250</v>
      </c>
      <c r="O36" s="12">
        <v>3731.54</v>
      </c>
      <c r="P36" s="12">
        <v>3731.54</v>
      </c>
      <c r="Q36" s="12">
        <v>1518.46</v>
      </c>
    </row>
    <row r="37" spans="1:17" hidden="1" x14ac:dyDescent="0.3">
      <c r="A37" s="8">
        <v>46086</v>
      </c>
      <c r="B37" s="10"/>
      <c r="D37" s="11" t="s">
        <v>89</v>
      </c>
      <c r="E37" s="11" t="s">
        <v>1086</v>
      </c>
      <c r="F37" s="10"/>
      <c r="G37" s="11" t="s">
        <v>940</v>
      </c>
      <c r="H37" s="11">
        <v>1</v>
      </c>
      <c r="I37" s="11" t="s">
        <v>74</v>
      </c>
      <c r="J37" s="12">
        <v>300</v>
      </c>
      <c r="K37" s="12">
        <v>300</v>
      </c>
      <c r="L37" s="11">
        <v>267.86</v>
      </c>
      <c r="M37" s="11">
        <v>32.14</v>
      </c>
      <c r="N37" s="10"/>
      <c r="O37" s="12">
        <v>84.68</v>
      </c>
      <c r="P37" s="12">
        <v>84.68</v>
      </c>
      <c r="Q37" s="12">
        <v>215.32</v>
      </c>
    </row>
    <row r="38" spans="1:17" hidden="1" x14ac:dyDescent="0.3">
      <c r="A38" s="8">
        <v>46086</v>
      </c>
      <c r="B38" s="10"/>
      <c r="D38" s="11" t="s">
        <v>89</v>
      </c>
      <c r="E38" s="11" t="s">
        <v>1086</v>
      </c>
      <c r="F38" s="10"/>
      <c r="G38" s="11" t="s">
        <v>912</v>
      </c>
      <c r="H38" s="11">
        <v>1</v>
      </c>
      <c r="I38" s="11" t="s">
        <v>268</v>
      </c>
      <c r="J38" s="12">
        <v>150</v>
      </c>
      <c r="K38" s="12">
        <v>150</v>
      </c>
      <c r="L38" s="11">
        <v>133.93</v>
      </c>
      <c r="M38" s="11">
        <v>16.07</v>
      </c>
      <c r="N38" s="10"/>
      <c r="O38" s="12">
        <v>7.34</v>
      </c>
      <c r="P38" s="12">
        <v>7.34</v>
      </c>
      <c r="Q38" s="12">
        <v>142.66</v>
      </c>
    </row>
    <row r="39" spans="1:17" hidden="1" x14ac:dyDescent="0.3">
      <c r="A39" s="8">
        <v>46086</v>
      </c>
      <c r="B39" s="11" t="s">
        <v>630</v>
      </c>
      <c r="D39" s="11" t="s">
        <v>1087</v>
      </c>
      <c r="E39" s="11" t="s">
        <v>1088</v>
      </c>
      <c r="F39" s="11" t="s">
        <v>1089</v>
      </c>
      <c r="G39" s="11" t="s">
        <v>907</v>
      </c>
      <c r="H39" s="11">
        <v>1</v>
      </c>
      <c r="I39" s="11" t="s">
        <v>100</v>
      </c>
      <c r="J39" s="12">
        <v>5500</v>
      </c>
      <c r="K39" s="12">
        <v>5500</v>
      </c>
      <c r="L39" s="10"/>
      <c r="M39" s="10"/>
      <c r="N39" s="12">
        <v>5500</v>
      </c>
      <c r="O39" s="12">
        <v>3731.54</v>
      </c>
      <c r="P39" s="12">
        <v>3731.54</v>
      </c>
      <c r="Q39" s="12">
        <v>1768.46</v>
      </c>
    </row>
    <row r="40" spans="1:17" hidden="1" x14ac:dyDescent="0.3">
      <c r="A40" s="8">
        <v>46086</v>
      </c>
      <c r="B40" s="11" t="s">
        <v>630</v>
      </c>
      <c r="D40" s="11" t="s">
        <v>1087</v>
      </c>
      <c r="E40" s="11" t="s">
        <v>1088</v>
      </c>
      <c r="F40" s="11" t="s">
        <v>1089</v>
      </c>
      <c r="G40" s="11" t="s">
        <v>940</v>
      </c>
      <c r="H40" s="11">
        <v>1</v>
      </c>
      <c r="I40" s="11" t="s">
        <v>74</v>
      </c>
      <c r="J40" s="12">
        <v>300</v>
      </c>
      <c r="K40" s="12">
        <v>300</v>
      </c>
      <c r="L40" s="11">
        <v>267.86</v>
      </c>
      <c r="M40" s="11">
        <v>32.14</v>
      </c>
      <c r="N40" s="10"/>
      <c r="O40" s="12">
        <v>84.68</v>
      </c>
      <c r="P40" s="12">
        <v>84.68</v>
      </c>
      <c r="Q40" s="12">
        <v>215.32</v>
      </c>
    </row>
    <row r="41" spans="1:17" hidden="1" x14ac:dyDescent="0.3">
      <c r="A41" s="8">
        <v>46086</v>
      </c>
      <c r="B41" s="11" t="s">
        <v>630</v>
      </c>
      <c r="D41" s="11" t="s">
        <v>1087</v>
      </c>
      <c r="E41" s="11" t="s">
        <v>1088</v>
      </c>
      <c r="F41" s="10"/>
      <c r="G41" s="11" t="s">
        <v>912</v>
      </c>
      <c r="H41" s="11">
        <v>2</v>
      </c>
      <c r="I41" s="11" t="s">
        <v>268</v>
      </c>
      <c r="J41" s="12">
        <v>150</v>
      </c>
      <c r="K41" s="12">
        <v>300</v>
      </c>
      <c r="L41" s="11">
        <v>267.86</v>
      </c>
      <c r="M41" s="11">
        <v>32.14</v>
      </c>
      <c r="N41" s="10"/>
      <c r="O41" s="12">
        <v>7.34</v>
      </c>
      <c r="P41" s="12">
        <v>14.68</v>
      </c>
      <c r="Q41" s="12">
        <v>285.32</v>
      </c>
    </row>
    <row r="42" spans="1:17" hidden="1" x14ac:dyDescent="0.3">
      <c r="A42" s="8">
        <v>46087</v>
      </c>
      <c r="B42" s="10"/>
      <c r="D42" s="11" t="s">
        <v>1090</v>
      </c>
      <c r="E42" s="11" t="s">
        <v>1091</v>
      </c>
      <c r="F42" s="10"/>
      <c r="G42" s="11" t="s">
        <v>907</v>
      </c>
      <c r="H42" s="11">
        <v>10</v>
      </c>
      <c r="I42" s="11" t="s">
        <v>91</v>
      </c>
      <c r="J42" s="12">
        <v>5500</v>
      </c>
      <c r="K42" s="12">
        <v>55000</v>
      </c>
      <c r="L42" s="10"/>
      <c r="M42" s="10"/>
      <c r="N42" s="12">
        <v>55000</v>
      </c>
      <c r="O42" s="12">
        <v>3731.54</v>
      </c>
      <c r="P42" s="12">
        <v>37315.4</v>
      </c>
      <c r="Q42" s="12">
        <v>17684.599999999999</v>
      </c>
    </row>
    <row r="43" spans="1:17" hidden="1" x14ac:dyDescent="0.3">
      <c r="A43" s="8">
        <v>46087</v>
      </c>
      <c r="B43" s="10"/>
      <c r="D43" s="11" t="s">
        <v>71</v>
      </c>
      <c r="E43" s="11" t="s">
        <v>1009</v>
      </c>
      <c r="F43" s="10"/>
      <c r="G43" s="11" t="s">
        <v>907</v>
      </c>
      <c r="H43" s="11">
        <v>1</v>
      </c>
      <c r="I43" s="11" t="s">
        <v>77</v>
      </c>
      <c r="J43" s="12">
        <v>350</v>
      </c>
      <c r="K43" s="12">
        <v>350</v>
      </c>
      <c r="L43" s="10"/>
      <c r="M43" s="10"/>
      <c r="N43" s="12">
        <v>350</v>
      </c>
      <c r="O43" s="12">
        <v>178.31</v>
      </c>
      <c r="P43" s="12">
        <v>178.31</v>
      </c>
      <c r="Q43" s="12">
        <v>171.69</v>
      </c>
    </row>
    <row r="44" spans="1:17" hidden="1" x14ac:dyDescent="0.3">
      <c r="A44" s="8">
        <v>46087</v>
      </c>
      <c r="B44" s="10"/>
      <c r="D44" s="11" t="s">
        <v>620</v>
      </c>
      <c r="E44" s="11" t="s">
        <v>906</v>
      </c>
      <c r="F44" s="10"/>
      <c r="G44" s="11" t="s">
        <v>907</v>
      </c>
      <c r="H44" s="11">
        <v>2</v>
      </c>
      <c r="I44" s="11" t="s">
        <v>77</v>
      </c>
      <c r="J44" s="12">
        <v>350</v>
      </c>
      <c r="K44" s="12">
        <v>700</v>
      </c>
      <c r="L44" s="10"/>
      <c r="M44" s="10"/>
      <c r="N44" s="12">
        <v>700</v>
      </c>
      <c r="O44" s="12">
        <v>178.31</v>
      </c>
      <c r="P44" s="12">
        <v>356.62</v>
      </c>
      <c r="Q44" s="12">
        <v>343.38</v>
      </c>
    </row>
    <row r="45" spans="1:17" x14ac:dyDescent="0.3">
      <c r="A45" s="8">
        <v>46087</v>
      </c>
      <c r="B45" s="10"/>
      <c r="D45" s="11" t="s">
        <v>620</v>
      </c>
      <c r="E45" s="11" t="s">
        <v>906</v>
      </c>
      <c r="F45" s="10"/>
      <c r="G45" s="11" t="s">
        <v>933</v>
      </c>
      <c r="H45" s="11">
        <v>1</v>
      </c>
      <c r="I45" s="11" t="s">
        <v>183</v>
      </c>
      <c r="J45" s="12">
        <v>205</v>
      </c>
      <c r="K45" s="12">
        <v>205</v>
      </c>
      <c r="L45" s="10"/>
      <c r="M45" s="10"/>
      <c r="N45" s="12">
        <v>205</v>
      </c>
      <c r="O45" s="11" t="s">
        <v>922</v>
      </c>
      <c r="P45" s="11" t="s">
        <v>922</v>
      </c>
      <c r="Q45" s="12">
        <v>205</v>
      </c>
    </row>
    <row r="46" spans="1:17" hidden="1" x14ac:dyDescent="0.3">
      <c r="A46" s="8">
        <v>46087</v>
      </c>
      <c r="B46" s="10"/>
      <c r="D46" s="10"/>
      <c r="E46" s="11" t="s">
        <v>631</v>
      </c>
      <c r="F46" s="10"/>
      <c r="G46" s="11" t="s">
        <v>1092</v>
      </c>
      <c r="H46" s="10"/>
      <c r="I46" s="11" t="s">
        <v>1093</v>
      </c>
      <c r="J46" s="11" t="s">
        <v>922</v>
      </c>
      <c r="K46" s="11" t="s">
        <v>922</v>
      </c>
      <c r="L46" s="10"/>
      <c r="M46" s="10"/>
      <c r="N46" s="10"/>
      <c r="O46" s="11">
        <v>583.33000000000004</v>
      </c>
      <c r="P46" s="12">
        <v>4083.31</v>
      </c>
      <c r="Q46" s="12">
        <v>-4083.31</v>
      </c>
    </row>
    <row r="47" spans="1:17" hidden="1" x14ac:dyDescent="0.3">
      <c r="A47" s="8">
        <v>46087</v>
      </c>
      <c r="B47" s="10"/>
      <c r="D47" s="11" t="s">
        <v>71</v>
      </c>
      <c r="E47" s="11" t="s">
        <v>1094</v>
      </c>
      <c r="F47" s="10"/>
      <c r="G47" s="11" t="s">
        <v>907</v>
      </c>
      <c r="H47" s="11">
        <v>1</v>
      </c>
      <c r="I47" s="11" t="s">
        <v>100</v>
      </c>
      <c r="J47" s="12">
        <v>6100</v>
      </c>
      <c r="K47" s="12">
        <v>6100</v>
      </c>
      <c r="L47" s="10"/>
      <c r="M47" s="10"/>
      <c r="N47" s="12">
        <v>6100</v>
      </c>
      <c r="O47" s="12">
        <v>3731.54</v>
      </c>
      <c r="P47" s="12">
        <v>3731.54</v>
      </c>
      <c r="Q47" s="12">
        <v>2368.46</v>
      </c>
    </row>
    <row r="48" spans="1:17" hidden="1" x14ac:dyDescent="0.3">
      <c r="A48" s="8">
        <v>46087</v>
      </c>
      <c r="B48" s="10"/>
      <c r="D48" s="11" t="s">
        <v>71</v>
      </c>
      <c r="E48" s="11" t="s">
        <v>1066</v>
      </c>
      <c r="F48" s="10"/>
      <c r="G48" s="11" t="s">
        <v>907</v>
      </c>
      <c r="H48" s="11">
        <v>1</v>
      </c>
      <c r="I48" s="11" t="s">
        <v>100</v>
      </c>
      <c r="J48" s="12">
        <v>6100</v>
      </c>
      <c r="K48" s="12">
        <v>6100</v>
      </c>
      <c r="L48" s="10"/>
      <c r="M48" s="10"/>
      <c r="N48" s="12">
        <v>6100</v>
      </c>
      <c r="O48" s="12">
        <v>3731.54</v>
      </c>
      <c r="P48" s="12">
        <v>3731.54</v>
      </c>
      <c r="Q48" s="12">
        <v>2368.46</v>
      </c>
    </row>
    <row r="49" spans="1:17" hidden="1" x14ac:dyDescent="0.3">
      <c r="A49" s="8">
        <v>46087</v>
      </c>
      <c r="B49" s="10"/>
      <c r="D49" s="10"/>
      <c r="E49" s="11" t="s">
        <v>1095</v>
      </c>
      <c r="F49" s="10"/>
      <c r="G49" s="11" t="s">
        <v>907</v>
      </c>
      <c r="H49" s="11">
        <v>32</v>
      </c>
      <c r="I49" s="11" t="s">
        <v>77</v>
      </c>
      <c r="J49" s="12">
        <v>230</v>
      </c>
      <c r="K49" s="12">
        <v>7360</v>
      </c>
      <c r="L49" s="10"/>
      <c r="M49" s="10"/>
      <c r="N49" s="12">
        <v>7360</v>
      </c>
      <c r="O49" s="12">
        <v>178.31</v>
      </c>
      <c r="P49" s="12">
        <v>5705.92</v>
      </c>
      <c r="Q49" s="12">
        <v>1654.08</v>
      </c>
    </row>
    <row r="50" spans="1:17" hidden="1" x14ac:dyDescent="0.3">
      <c r="A50" s="8">
        <v>46087</v>
      </c>
      <c r="B50" s="10"/>
      <c r="D50" s="11" t="s">
        <v>915</v>
      </c>
      <c r="E50" s="11" t="s">
        <v>1096</v>
      </c>
      <c r="F50" s="10"/>
      <c r="G50" s="11" t="s">
        <v>907</v>
      </c>
      <c r="H50" s="11">
        <v>32</v>
      </c>
      <c r="I50" s="11" t="s">
        <v>77</v>
      </c>
      <c r="J50" s="12">
        <v>240</v>
      </c>
      <c r="K50" s="12">
        <v>7680</v>
      </c>
      <c r="L50" s="10"/>
      <c r="M50" s="10"/>
      <c r="N50" s="12">
        <v>7680</v>
      </c>
      <c r="O50" s="12">
        <v>178.31</v>
      </c>
      <c r="P50" s="12">
        <v>5705.92</v>
      </c>
      <c r="Q50" s="12">
        <v>1974.08</v>
      </c>
    </row>
    <row r="51" spans="1:17" hidden="1" x14ac:dyDescent="0.3">
      <c r="A51" s="8">
        <v>46088</v>
      </c>
      <c r="B51" s="10"/>
      <c r="D51" s="11" t="s">
        <v>71</v>
      </c>
      <c r="E51" s="11" t="s">
        <v>1097</v>
      </c>
      <c r="F51" s="10"/>
      <c r="G51" s="11" t="s">
        <v>897</v>
      </c>
      <c r="H51" s="11">
        <v>3</v>
      </c>
      <c r="I51" s="11" t="s">
        <v>149</v>
      </c>
      <c r="J51" s="12">
        <v>300</v>
      </c>
      <c r="K51" s="12">
        <v>900</v>
      </c>
      <c r="L51" s="11">
        <v>803.57</v>
      </c>
      <c r="M51" s="11">
        <v>96.43</v>
      </c>
      <c r="N51" s="10"/>
      <c r="O51" s="12">
        <v>119.01</v>
      </c>
      <c r="P51" s="12">
        <v>357.03</v>
      </c>
      <c r="Q51" s="12">
        <v>542.97</v>
      </c>
    </row>
    <row r="52" spans="1:17" hidden="1" x14ac:dyDescent="0.3">
      <c r="A52" s="8">
        <v>46088</v>
      </c>
      <c r="B52" s="10"/>
      <c r="D52" s="11" t="s">
        <v>915</v>
      </c>
      <c r="E52" s="11" t="s">
        <v>916</v>
      </c>
      <c r="F52" s="10"/>
      <c r="G52" s="11" t="s">
        <v>219</v>
      </c>
      <c r="H52" s="11">
        <v>4</v>
      </c>
      <c r="I52" s="11" t="s">
        <v>627</v>
      </c>
      <c r="J52" s="12">
        <v>350</v>
      </c>
      <c r="K52" s="12">
        <v>1400</v>
      </c>
      <c r="L52" s="15">
        <v>1250</v>
      </c>
      <c r="M52" s="11">
        <v>150</v>
      </c>
      <c r="N52" s="10"/>
      <c r="O52" s="12">
        <v>172.5</v>
      </c>
      <c r="P52" s="12">
        <v>690</v>
      </c>
      <c r="Q52" s="12">
        <v>710</v>
      </c>
    </row>
    <row r="53" spans="1:17" hidden="1" x14ac:dyDescent="0.3">
      <c r="A53" s="8">
        <v>46090</v>
      </c>
      <c r="B53" s="10"/>
      <c r="D53" s="11" t="s">
        <v>71</v>
      </c>
      <c r="E53" s="11" t="s">
        <v>1098</v>
      </c>
      <c r="F53" s="10"/>
      <c r="G53" s="11" t="s">
        <v>907</v>
      </c>
      <c r="H53" s="11">
        <v>2</v>
      </c>
      <c r="I53" s="11" t="s">
        <v>77</v>
      </c>
      <c r="J53" s="12">
        <v>350</v>
      </c>
      <c r="K53" s="12">
        <v>700</v>
      </c>
      <c r="L53" s="10"/>
      <c r="M53" s="10"/>
      <c r="N53" s="12">
        <v>700</v>
      </c>
      <c r="O53" s="12">
        <v>178.31</v>
      </c>
      <c r="P53" s="12">
        <v>356.62</v>
      </c>
      <c r="Q53" s="12">
        <v>343.38</v>
      </c>
    </row>
    <row r="54" spans="1:17" hidden="1" x14ac:dyDescent="0.3">
      <c r="A54" s="8">
        <v>46090</v>
      </c>
      <c r="B54" s="10"/>
      <c r="D54" s="11" t="s">
        <v>71</v>
      </c>
      <c r="E54" s="11" t="s">
        <v>1066</v>
      </c>
      <c r="F54" s="10"/>
      <c r="G54" s="11" t="s">
        <v>907</v>
      </c>
      <c r="H54" s="11">
        <v>1</v>
      </c>
      <c r="I54" s="11" t="s">
        <v>77</v>
      </c>
      <c r="J54" s="12">
        <v>350</v>
      </c>
      <c r="K54" s="12">
        <v>350</v>
      </c>
      <c r="L54" s="10"/>
      <c r="M54" s="10"/>
      <c r="N54" s="12">
        <v>350</v>
      </c>
      <c r="O54" s="12">
        <v>178.31</v>
      </c>
      <c r="P54" s="12">
        <v>178.31</v>
      </c>
      <c r="Q54" s="12">
        <v>171.69</v>
      </c>
    </row>
    <row r="55" spans="1:17" hidden="1" x14ac:dyDescent="0.3">
      <c r="A55" s="8">
        <v>46090</v>
      </c>
      <c r="B55" s="10"/>
      <c r="D55" s="11" t="s">
        <v>71</v>
      </c>
      <c r="E55" s="11" t="s">
        <v>1099</v>
      </c>
      <c r="F55" s="10"/>
      <c r="G55" s="11" t="s">
        <v>370</v>
      </c>
      <c r="H55" s="11">
        <v>1</v>
      </c>
      <c r="I55" s="11" t="s">
        <v>74</v>
      </c>
      <c r="J55" s="12">
        <v>1310</v>
      </c>
      <c r="K55" s="12">
        <v>1310</v>
      </c>
      <c r="L55" s="15">
        <v>1308.8</v>
      </c>
      <c r="M55" s="11">
        <v>157.06</v>
      </c>
      <c r="N55" s="10"/>
      <c r="O55" s="12">
        <v>880</v>
      </c>
      <c r="P55" s="12">
        <v>880</v>
      </c>
      <c r="Q55" s="12">
        <v>430</v>
      </c>
    </row>
    <row r="56" spans="1:17" hidden="1" x14ac:dyDescent="0.3">
      <c r="A56" s="8">
        <v>46090</v>
      </c>
      <c r="B56" s="10"/>
      <c r="D56" s="11" t="s">
        <v>71</v>
      </c>
      <c r="E56" s="11" t="s">
        <v>1100</v>
      </c>
      <c r="F56" s="10"/>
      <c r="G56" s="11" t="s">
        <v>111</v>
      </c>
      <c r="H56" s="11">
        <v>1</v>
      </c>
      <c r="I56" s="11" t="s">
        <v>74</v>
      </c>
      <c r="J56" s="12">
        <v>1249</v>
      </c>
      <c r="K56" s="12">
        <v>1249</v>
      </c>
      <c r="L56" s="15">
        <v>1115.18</v>
      </c>
      <c r="M56" s="11">
        <v>133.82</v>
      </c>
      <c r="N56" s="10"/>
      <c r="O56" s="12">
        <v>870</v>
      </c>
      <c r="P56" s="12">
        <v>870</v>
      </c>
      <c r="Q56" s="12">
        <v>379</v>
      </c>
    </row>
    <row r="57" spans="1:17" hidden="1" x14ac:dyDescent="0.3">
      <c r="A57" s="8">
        <v>46090</v>
      </c>
      <c r="B57" s="10"/>
      <c r="D57" s="11" t="s">
        <v>71</v>
      </c>
      <c r="E57" s="11" t="s">
        <v>1101</v>
      </c>
      <c r="F57" s="10"/>
      <c r="G57" s="11" t="s">
        <v>907</v>
      </c>
      <c r="H57" s="11">
        <v>1</v>
      </c>
      <c r="I57" s="11" t="s">
        <v>77</v>
      </c>
      <c r="J57" s="12">
        <v>350</v>
      </c>
      <c r="K57" s="12">
        <v>350</v>
      </c>
      <c r="L57" s="10"/>
      <c r="M57" s="10"/>
      <c r="N57" s="12">
        <v>350</v>
      </c>
      <c r="O57" s="12">
        <v>178.31</v>
      </c>
      <c r="P57" s="12">
        <v>178.31</v>
      </c>
      <c r="Q57" s="12">
        <v>171.69</v>
      </c>
    </row>
    <row r="58" spans="1:17" hidden="1" x14ac:dyDescent="0.3">
      <c r="A58" s="8">
        <v>46090</v>
      </c>
      <c r="B58" s="10"/>
      <c r="D58" s="11" t="s">
        <v>1102</v>
      </c>
      <c r="E58" s="11" t="s">
        <v>227</v>
      </c>
      <c r="F58" s="10"/>
      <c r="G58" s="11" t="s">
        <v>907</v>
      </c>
      <c r="H58" s="11">
        <v>1</v>
      </c>
      <c r="I58" s="11" t="s">
        <v>100</v>
      </c>
      <c r="J58" s="12">
        <v>5250</v>
      </c>
      <c r="K58" s="12">
        <v>5250</v>
      </c>
      <c r="L58" s="10"/>
      <c r="M58" s="10"/>
      <c r="N58" s="12">
        <v>5250</v>
      </c>
      <c r="O58" s="12">
        <v>3731.54</v>
      </c>
      <c r="P58" s="12">
        <v>3731.54</v>
      </c>
      <c r="Q58" s="12">
        <v>1518.46</v>
      </c>
    </row>
    <row r="59" spans="1:17" hidden="1" x14ac:dyDescent="0.3">
      <c r="A59" s="8">
        <v>46090</v>
      </c>
      <c r="B59" s="10"/>
      <c r="D59" s="11" t="s">
        <v>1103</v>
      </c>
      <c r="E59" s="11" t="s">
        <v>1032</v>
      </c>
      <c r="F59" s="10"/>
      <c r="G59" s="11" t="s">
        <v>625</v>
      </c>
      <c r="H59" s="11">
        <v>2</v>
      </c>
      <c r="I59" s="11" t="s">
        <v>626</v>
      </c>
      <c r="J59" s="12">
        <v>3224</v>
      </c>
      <c r="K59" s="12">
        <v>6448</v>
      </c>
      <c r="L59" s="15">
        <v>5757.14</v>
      </c>
      <c r="M59" s="11">
        <v>690.86</v>
      </c>
      <c r="N59" s="10"/>
      <c r="O59" s="12">
        <v>2110</v>
      </c>
      <c r="P59" s="12">
        <v>4220</v>
      </c>
      <c r="Q59" s="12">
        <v>2228</v>
      </c>
    </row>
    <row r="60" spans="1:17" hidden="1" x14ac:dyDescent="0.3">
      <c r="A60" s="8">
        <v>46090</v>
      </c>
      <c r="B60" s="10"/>
      <c r="D60" s="11" t="s">
        <v>1103</v>
      </c>
      <c r="E60" s="11" t="s">
        <v>1032</v>
      </c>
      <c r="F60" s="10"/>
      <c r="G60" s="11" t="s">
        <v>899</v>
      </c>
      <c r="H60" s="11">
        <v>1</v>
      </c>
      <c r="I60" s="11" t="s">
        <v>86</v>
      </c>
      <c r="J60" s="12">
        <v>560</v>
      </c>
      <c r="K60" s="12">
        <v>560</v>
      </c>
      <c r="L60" s="11">
        <v>500</v>
      </c>
      <c r="M60" s="11">
        <v>60</v>
      </c>
      <c r="N60" s="10"/>
      <c r="O60" s="12">
        <v>218.56</v>
      </c>
      <c r="P60" s="12">
        <v>218.56</v>
      </c>
      <c r="Q60" s="12">
        <v>341.44</v>
      </c>
    </row>
    <row r="61" spans="1:17" hidden="1" x14ac:dyDescent="0.3">
      <c r="A61" s="8">
        <v>46090</v>
      </c>
      <c r="B61" s="10"/>
      <c r="D61" s="11" t="s">
        <v>1103</v>
      </c>
      <c r="E61" s="11" t="s">
        <v>1032</v>
      </c>
      <c r="F61" s="10"/>
      <c r="G61" s="11" t="s">
        <v>1082</v>
      </c>
      <c r="H61" s="11">
        <v>1</v>
      </c>
      <c r="I61" s="11" t="s">
        <v>86</v>
      </c>
      <c r="J61" s="12">
        <v>1800</v>
      </c>
      <c r="K61" s="12">
        <v>1800</v>
      </c>
      <c r="L61" s="15">
        <v>1798.8</v>
      </c>
      <c r="M61" s="11">
        <v>215.86</v>
      </c>
      <c r="N61" s="10"/>
      <c r="O61" s="12">
        <v>474.63</v>
      </c>
      <c r="P61" s="12">
        <v>474.63</v>
      </c>
      <c r="Q61" s="12">
        <v>1325.37</v>
      </c>
    </row>
    <row r="62" spans="1:17" hidden="1" x14ac:dyDescent="0.3">
      <c r="A62" s="8">
        <v>46091</v>
      </c>
      <c r="B62" s="10"/>
      <c r="D62" s="11" t="s">
        <v>71</v>
      </c>
      <c r="E62" s="11" t="s">
        <v>1104</v>
      </c>
      <c r="F62" s="10"/>
      <c r="G62" s="11" t="s">
        <v>907</v>
      </c>
      <c r="H62" s="11">
        <v>5</v>
      </c>
      <c r="I62" s="11" t="s">
        <v>77</v>
      </c>
      <c r="J62" s="12">
        <v>350</v>
      </c>
      <c r="K62" s="12">
        <v>1750</v>
      </c>
      <c r="L62" s="10"/>
      <c r="M62" s="10"/>
      <c r="N62" s="12">
        <v>1750</v>
      </c>
      <c r="O62" s="12">
        <v>178.31</v>
      </c>
      <c r="P62" s="12">
        <v>891.55</v>
      </c>
      <c r="Q62" s="12">
        <v>858.45</v>
      </c>
    </row>
    <row r="63" spans="1:17" hidden="1" x14ac:dyDescent="0.3">
      <c r="A63" s="8">
        <v>46091</v>
      </c>
      <c r="B63" s="10"/>
      <c r="D63" s="11" t="s">
        <v>71</v>
      </c>
      <c r="E63" s="11" t="s">
        <v>1105</v>
      </c>
      <c r="F63" s="10"/>
      <c r="G63" s="11" t="s">
        <v>907</v>
      </c>
      <c r="H63" s="11">
        <v>1</v>
      </c>
      <c r="I63" s="11" t="s">
        <v>100</v>
      </c>
      <c r="J63" s="12">
        <v>6100</v>
      </c>
      <c r="K63" s="12">
        <v>6100</v>
      </c>
      <c r="L63" s="10"/>
      <c r="M63" s="10"/>
      <c r="N63" s="12">
        <v>6100</v>
      </c>
      <c r="O63" s="12">
        <v>3731.54</v>
      </c>
      <c r="P63" s="12">
        <v>3731.54</v>
      </c>
      <c r="Q63" s="12">
        <v>2368.46</v>
      </c>
    </row>
    <row r="64" spans="1:17" hidden="1" x14ac:dyDescent="0.3">
      <c r="A64" s="8">
        <v>46091</v>
      </c>
      <c r="B64" s="10"/>
      <c r="D64" s="10"/>
      <c r="E64" s="11" t="s">
        <v>1035</v>
      </c>
      <c r="F64" s="10"/>
      <c r="G64" s="11" t="s">
        <v>219</v>
      </c>
      <c r="H64" s="11">
        <v>5</v>
      </c>
      <c r="I64" s="11" t="s">
        <v>627</v>
      </c>
      <c r="J64" s="12">
        <v>350</v>
      </c>
      <c r="K64" s="12">
        <v>1750</v>
      </c>
      <c r="L64" s="15">
        <v>1562.5</v>
      </c>
      <c r="M64" s="11">
        <v>187.5</v>
      </c>
      <c r="N64" s="10"/>
      <c r="O64" s="12">
        <v>172.5</v>
      </c>
      <c r="P64" s="12">
        <v>862.5</v>
      </c>
      <c r="Q64" s="12">
        <v>887.5</v>
      </c>
    </row>
    <row r="65" spans="1:17" hidden="1" x14ac:dyDescent="0.3">
      <c r="A65" s="8">
        <v>46092</v>
      </c>
      <c r="B65" s="10"/>
      <c r="D65" s="11" t="s">
        <v>71</v>
      </c>
      <c r="E65" s="11" t="s">
        <v>1106</v>
      </c>
      <c r="F65" s="10"/>
      <c r="G65" s="11" t="s">
        <v>907</v>
      </c>
      <c r="H65" s="11">
        <v>1</v>
      </c>
      <c r="I65" s="11" t="s">
        <v>77</v>
      </c>
      <c r="J65" s="12">
        <v>350</v>
      </c>
      <c r="K65" s="12">
        <v>350</v>
      </c>
      <c r="L65" s="10"/>
      <c r="M65" s="10"/>
      <c r="N65" s="12">
        <v>350</v>
      </c>
      <c r="O65" s="12">
        <v>178.31</v>
      </c>
      <c r="P65" s="12">
        <v>178.31</v>
      </c>
      <c r="Q65" s="12">
        <v>171.69</v>
      </c>
    </row>
    <row r="66" spans="1:17" hidden="1" x14ac:dyDescent="0.3">
      <c r="A66" s="8">
        <v>46092</v>
      </c>
      <c r="B66" s="10"/>
      <c r="D66" s="11" t="s">
        <v>71</v>
      </c>
      <c r="E66" s="11" t="s">
        <v>1107</v>
      </c>
      <c r="F66" s="10"/>
      <c r="G66" s="11" t="s">
        <v>907</v>
      </c>
      <c r="H66" s="11">
        <v>1</v>
      </c>
      <c r="I66" s="11" t="s">
        <v>77</v>
      </c>
      <c r="J66" s="12">
        <v>350</v>
      </c>
      <c r="K66" s="12">
        <v>350</v>
      </c>
      <c r="L66" s="10"/>
      <c r="M66" s="10"/>
      <c r="N66" s="12">
        <v>350</v>
      </c>
      <c r="O66" s="12">
        <v>178.31</v>
      </c>
      <c r="P66" s="12">
        <v>178.31</v>
      </c>
      <c r="Q66" s="12">
        <v>171.69</v>
      </c>
    </row>
    <row r="67" spans="1:17" hidden="1" x14ac:dyDescent="0.3">
      <c r="A67" s="8">
        <v>46092</v>
      </c>
      <c r="B67" s="10"/>
      <c r="D67" s="11" t="s">
        <v>89</v>
      </c>
      <c r="E67" s="11" t="s">
        <v>952</v>
      </c>
      <c r="F67" s="10"/>
      <c r="G67" s="11" t="s">
        <v>907</v>
      </c>
      <c r="H67" s="11">
        <v>64</v>
      </c>
      <c r="I67" s="11" t="s">
        <v>77</v>
      </c>
      <c r="J67" s="12">
        <v>230</v>
      </c>
      <c r="K67" s="12">
        <v>14720</v>
      </c>
      <c r="L67" s="10"/>
      <c r="M67" s="10"/>
      <c r="N67" s="12">
        <v>14720</v>
      </c>
      <c r="O67" s="12">
        <v>178.31</v>
      </c>
      <c r="P67" s="12">
        <v>11411.84</v>
      </c>
      <c r="Q67" s="12">
        <v>3308.16</v>
      </c>
    </row>
    <row r="68" spans="1:17" hidden="1" x14ac:dyDescent="0.3">
      <c r="A68" s="8">
        <v>46092</v>
      </c>
      <c r="B68" s="10"/>
      <c r="D68" s="11" t="s">
        <v>89</v>
      </c>
      <c r="E68" s="11" t="s">
        <v>952</v>
      </c>
      <c r="F68" s="10"/>
      <c r="G68" s="11" t="s">
        <v>907</v>
      </c>
      <c r="H68" s="11">
        <v>1</v>
      </c>
      <c r="I68" s="11" t="s">
        <v>100</v>
      </c>
      <c r="J68" s="12">
        <v>5250</v>
      </c>
      <c r="K68" s="12">
        <v>5250</v>
      </c>
      <c r="L68" s="10"/>
      <c r="M68" s="10"/>
      <c r="N68" s="12">
        <v>5250</v>
      </c>
      <c r="O68" s="12">
        <v>3731.54</v>
      </c>
      <c r="P68" s="12">
        <v>3731.54</v>
      </c>
      <c r="Q68" s="12">
        <v>1518.46</v>
      </c>
    </row>
    <row r="69" spans="1:17" hidden="1" x14ac:dyDescent="0.3">
      <c r="A69" s="8">
        <v>46092</v>
      </c>
      <c r="B69" s="10"/>
      <c r="D69" s="11" t="s">
        <v>1108</v>
      </c>
      <c r="E69" s="11" t="s">
        <v>1109</v>
      </c>
      <c r="F69" s="10"/>
      <c r="G69" s="11" t="s">
        <v>907</v>
      </c>
      <c r="H69" s="11">
        <v>5</v>
      </c>
      <c r="I69" s="11" t="s">
        <v>100</v>
      </c>
      <c r="J69" s="12">
        <v>5000</v>
      </c>
      <c r="K69" s="12">
        <v>25000</v>
      </c>
      <c r="L69" s="10"/>
      <c r="M69" s="10"/>
      <c r="N69" s="12">
        <v>25000</v>
      </c>
      <c r="O69" s="12">
        <v>3731.54</v>
      </c>
      <c r="P69" s="12">
        <v>18657.7</v>
      </c>
      <c r="Q69" s="12">
        <v>6342.3</v>
      </c>
    </row>
    <row r="70" spans="1:17" hidden="1" x14ac:dyDescent="0.3">
      <c r="A70" s="8">
        <v>46092</v>
      </c>
      <c r="B70" s="10"/>
      <c r="D70" s="11" t="s">
        <v>1108</v>
      </c>
      <c r="E70" s="11" t="s">
        <v>1109</v>
      </c>
      <c r="F70" s="10"/>
      <c r="G70" s="11" t="s">
        <v>899</v>
      </c>
      <c r="H70" s="11">
        <v>2</v>
      </c>
      <c r="I70" s="11" t="s">
        <v>86</v>
      </c>
      <c r="J70" s="12">
        <v>560</v>
      </c>
      <c r="K70" s="12">
        <v>1120</v>
      </c>
      <c r="L70" s="15">
        <v>1000</v>
      </c>
      <c r="M70" s="11">
        <v>120</v>
      </c>
      <c r="N70" s="10"/>
      <c r="O70" s="12">
        <v>218.56</v>
      </c>
      <c r="P70" s="12">
        <v>437.12</v>
      </c>
      <c r="Q70" s="12">
        <v>682.88</v>
      </c>
    </row>
    <row r="71" spans="1:17" hidden="1" x14ac:dyDescent="0.3">
      <c r="A71" s="8">
        <v>46092</v>
      </c>
      <c r="B71" s="10"/>
      <c r="D71" s="11" t="s">
        <v>1108</v>
      </c>
      <c r="E71" s="11" t="s">
        <v>1109</v>
      </c>
      <c r="F71" s="10"/>
      <c r="G71" s="11" t="s">
        <v>940</v>
      </c>
      <c r="H71" s="11">
        <v>1</v>
      </c>
      <c r="I71" s="11" t="s">
        <v>74</v>
      </c>
      <c r="J71" s="12">
        <v>300</v>
      </c>
      <c r="K71" s="12">
        <v>300</v>
      </c>
      <c r="L71" s="11">
        <v>267.86</v>
      </c>
      <c r="M71" s="11">
        <v>32.14</v>
      </c>
      <c r="N71" s="10"/>
      <c r="O71" s="12">
        <v>84.68</v>
      </c>
      <c r="P71" s="12">
        <v>84.68</v>
      </c>
      <c r="Q71" s="12">
        <v>215.32</v>
      </c>
    </row>
    <row r="72" spans="1:17" hidden="1" x14ac:dyDescent="0.3">
      <c r="A72" s="8">
        <v>46092</v>
      </c>
      <c r="B72" s="10"/>
      <c r="D72" s="11" t="s">
        <v>71</v>
      </c>
      <c r="E72" s="11" t="s">
        <v>1110</v>
      </c>
      <c r="F72" s="10"/>
      <c r="G72" s="11" t="s">
        <v>907</v>
      </c>
      <c r="H72" s="11">
        <v>1</v>
      </c>
      <c r="I72" s="11" t="s">
        <v>100</v>
      </c>
      <c r="J72" s="12">
        <v>6100</v>
      </c>
      <c r="K72" s="12">
        <v>6100</v>
      </c>
      <c r="L72" s="10"/>
      <c r="M72" s="10"/>
      <c r="N72" s="12">
        <v>6100</v>
      </c>
      <c r="O72" s="12">
        <v>3731.54</v>
      </c>
      <c r="P72" s="12">
        <v>3731.54</v>
      </c>
      <c r="Q72" s="12">
        <v>2368.46</v>
      </c>
    </row>
    <row r="73" spans="1:17" hidden="1" x14ac:dyDescent="0.3">
      <c r="A73" s="8">
        <v>46092</v>
      </c>
      <c r="B73" s="10"/>
      <c r="D73" s="11" t="s">
        <v>915</v>
      </c>
      <c r="E73" s="11" t="s">
        <v>632</v>
      </c>
      <c r="F73" s="10"/>
      <c r="G73" s="11" t="s">
        <v>921</v>
      </c>
      <c r="H73" s="11">
        <v>1</v>
      </c>
      <c r="I73" s="11" t="s">
        <v>86</v>
      </c>
      <c r="J73" s="12">
        <v>58035</v>
      </c>
      <c r="K73" s="12">
        <v>58035</v>
      </c>
      <c r="L73" s="15">
        <v>58033.8</v>
      </c>
      <c r="M73" s="15">
        <v>6964.06</v>
      </c>
      <c r="N73" s="11" t="s">
        <v>922</v>
      </c>
      <c r="O73" s="12">
        <v>31242.41</v>
      </c>
      <c r="P73" s="12">
        <v>31242.41</v>
      </c>
      <c r="Q73" s="12">
        <v>26792.59</v>
      </c>
    </row>
    <row r="74" spans="1:17" hidden="1" x14ac:dyDescent="0.3">
      <c r="A74" s="8">
        <v>46092</v>
      </c>
      <c r="B74" s="10"/>
      <c r="D74" s="11" t="s">
        <v>71</v>
      </c>
      <c r="E74" s="11" t="s">
        <v>1010</v>
      </c>
      <c r="F74" s="10"/>
      <c r="G74" s="11" t="s">
        <v>907</v>
      </c>
      <c r="H74" s="11">
        <v>3</v>
      </c>
      <c r="I74" s="11" t="s">
        <v>77</v>
      </c>
      <c r="J74" s="12">
        <v>350</v>
      </c>
      <c r="K74" s="12">
        <v>1050</v>
      </c>
      <c r="L74" s="10"/>
      <c r="M74" s="10"/>
      <c r="N74" s="12">
        <v>1050</v>
      </c>
      <c r="O74" s="12">
        <v>178.31</v>
      </c>
      <c r="P74" s="12">
        <v>534.92999999999995</v>
      </c>
      <c r="Q74" s="12">
        <v>515.07000000000005</v>
      </c>
    </row>
    <row r="75" spans="1:17" hidden="1" x14ac:dyDescent="0.3">
      <c r="A75" s="8">
        <v>46092</v>
      </c>
      <c r="B75" s="10"/>
      <c r="D75" s="11" t="s">
        <v>71</v>
      </c>
      <c r="E75" s="11" t="s">
        <v>1111</v>
      </c>
      <c r="F75" s="10"/>
      <c r="G75" s="11" t="s">
        <v>907</v>
      </c>
      <c r="H75" s="11">
        <v>1</v>
      </c>
      <c r="I75" s="11" t="s">
        <v>77</v>
      </c>
      <c r="J75" s="12">
        <v>350</v>
      </c>
      <c r="K75" s="12">
        <v>350</v>
      </c>
      <c r="L75" s="10"/>
      <c r="M75" s="10"/>
      <c r="N75" s="12">
        <v>350</v>
      </c>
      <c r="O75" s="12">
        <v>178.31</v>
      </c>
      <c r="P75" s="12">
        <v>178.31</v>
      </c>
      <c r="Q75" s="12">
        <v>171.69</v>
      </c>
    </row>
    <row r="76" spans="1:17" hidden="1" x14ac:dyDescent="0.3">
      <c r="A76" s="9">
        <v>46092</v>
      </c>
      <c r="B76" s="10"/>
      <c r="D76" s="13" t="s">
        <v>71</v>
      </c>
      <c r="E76" s="13" t="s">
        <v>1112</v>
      </c>
      <c r="F76" s="10"/>
      <c r="G76" s="13" t="s">
        <v>907</v>
      </c>
      <c r="H76" s="10"/>
      <c r="I76" s="13" t="s">
        <v>1113</v>
      </c>
      <c r="J76" s="13" t="s">
        <v>922</v>
      </c>
      <c r="K76" s="13" t="s">
        <v>922</v>
      </c>
      <c r="L76" s="10"/>
      <c r="M76" s="10"/>
      <c r="N76" s="13" t="s">
        <v>922</v>
      </c>
      <c r="O76" s="13" t="s">
        <v>922</v>
      </c>
      <c r="P76" s="13" t="s">
        <v>922</v>
      </c>
      <c r="Q76" s="13" t="s">
        <v>922</v>
      </c>
    </row>
    <row r="77" spans="1:17" hidden="1" x14ac:dyDescent="0.3">
      <c r="A77" s="26">
        <v>46092</v>
      </c>
      <c r="B77" s="10"/>
      <c r="D77" s="14" t="s">
        <v>1114</v>
      </c>
      <c r="E77" s="14" t="s">
        <v>1115</v>
      </c>
      <c r="F77" s="10"/>
      <c r="G77" s="14" t="s">
        <v>907</v>
      </c>
      <c r="H77" s="14">
        <v>60</v>
      </c>
      <c r="I77" s="14" t="s">
        <v>91</v>
      </c>
      <c r="J77" s="57">
        <v>4750</v>
      </c>
      <c r="K77" s="57">
        <v>285000</v>
      </c>
      <c r="L77" s="10"/>
      <c r="M77" s="10"/>
      <c r="N77" s="57">
        <v>285000</v>
      </c>
      <c r="O77" s="57">
        <v>3731.54</v>
      </c>
      <c r="P77" s="57">
        <v>223892.4</v>
      </c>
      <c r="Q77" s="57">
        <v>61107.6</v>
      </c>
    </row>
    <row r="78" spans="1:17" x14ac:dyDescent="0.3">
      <c r="A78" s="26">
        <v>46092</v>
      </c>
      <c r="B78" s="10"/>
      <c r="D78" s="14" t="s">
        <v>1114</v>
      </c>
      <c r="E78" s="14" t="s">
        <v>1115</v>
      </c>
      <c r="F78" s="10"/>
      <c r="G78" s="11" t="s">
        <v>933</v>
      </c>
      <c r="H78" s="14">
        <v>1</v>
      </c>
      <c r="I78" s="14" t="s">
        <v>183</v>
      </c>
      <c r="J78" s="57">
        <v>25000</v>
      </c>
      <c r="K78" s="57">
        <v>25000</v>
      </c>
      <c r="L78" s="10"/>
      <c r="M78" s="10"/>
      <c r="N78" s="57">
        <v>25000</v>
      </c>
      <c r="O78" s="14" t="s">
        <v>922</v>
      </c>
      <c r="P78" s="14" t="s">
        <v>922</v>
      </c>
      <c r="Q78" s="57">
        <v>25000</v>
      </c>
    </row>
    <row r="79" spans="1:17" hidden="1" x14ac:dyDescent="0.3">
      <c r="A79" s="26">
        <v>46092</v>
      </c>
      <c r="B79" s="10"/>
      <c r="D79" s="14" t="s">
        <v>1114</v>
      </c>
      <c r="E79" s="14" t="s">
        <v>1115</v>
      </c>
      <c r="F79" s="10"/>
      <c r="G79" s="11" t="s">
        <v>940</v>
      </c>
      <c r="H79" s="14">
        <v>5</v>
      </c>
      <c r="I79" s="14" t="s">
        <v>74</v>
      </c>
      <c r="J79" s="14" t="s">
        <v>922</v>
      </c>
      <c r="K79" s="14" t="s">
        <v>922</v>
      </c>
      <c r="L79" s="10"/>
      <c r="M79" s="10"/>
      <c r="N79" s="10"/>
      <c r="O79" s="57">
        <v>84.68</v>
      </c>
      <c r="P79" s="57">
        <v>423.4</v>
      </c>
      <c r="Q79" s="57">
        <v>-423.4</v>
      </c>
    </row>
    <row r="80" spans="1:17" hidden="1" x14ac:dyDescent="0.3">
      <c r="A80" s="8">
        <v>46093</v>
      </c>
      <c r="B80" s="10"/>
      <c r="D80" s="11" t="s">
        <v>915</v>
      </c>
      <c r="E80" s="11" t="s">
        <v>951</v>
      </c>
      <c r="F80" s="10"/>
      <c r="G80" s="11" t="s">
        <v>907</v>
      </c>
      <c r="H80" s="11">
        <v>1</v>
      </c>
      <c r="I80" s="11" t="s">
        <v>100</v>
      </c>
      <c r="J80" s="12">
        <v>5500</v>
      </c>
      <c r="K80" s="12">
        <v>5500</v>
      </c>
      <c r="L80" s="10"/>
      <c r="M80" s="10"/>
      <c r="N80" s="12">
        <v>5500</v>
      </c>
      <c r="O80" s="12">
        <v>3731.54</v>
      </c>
      <c r="P80" s="12">
        <v>3731.54</v>
      </c>
      <c r="Q80" s="12">
        <v>1768.46</v>
      </c>
    </row>
    <row r="81" spans="1:17" hidden="1" x14ac:dyDescent="0.3">
      <c r="A81" s="8">
        <v>46093</v>
      </c>
      <c r="B81" s="10"/>
      <c r="D81" s="11" t="s">
        <v>915</v>
      </c>
      <c r="E81" s="11" t="s">
        <v>1116</v>
      </c>
      <c r="F81" s="10"/>
      <c r="G81" s="11" t="s">
        <v>907</v>
      </c>
      <c r="H81" s="11">
        <v>1</v>
      </c>
      <c r="I81" s="11" t="s">
        <v>91</v>
      </c>
      <c r="J81" s="12">
        <v>5500</v>
      </c>
      <c r="K81" s="12">
        <v>5500</v>
      </c>
      <c r="L81" s="10"/>
      <c r="M81" s="10"/>
      <c r="N81" s="12">
        <v>5500</v>
      </c>
      <c r="O81" s="12">
        <v>3731.54</v>
      </c>
      <c r="P81" s="12">
        <v>3731.54</v>
      </c>
      <c r="Q81" s="12">
        <v>1768.46</v>
      </c>
    </row>
    <row r="82" spans="1:17" hidden="1" x14ac:dyDescent="0.3">
      <c r="A82" s="8">
        <v>46093</v>
      </c>
      <c r="B82" s="10"/>
      <c r="D82" s="11" t="s">
        <v>1073</v>
      </c>
      <c r="E82" s="11" t="s">
        <v>1117</v>
      </c>
      <c r="F82" s="10"/>
      <c r="G82" s="11" t="s">
        <v>907</v>
      </c>
      <c r="H82" s="11">
        <v>5</v>
      </c>
      <c r="I82" s="11" t="s">
        <v>91</v>
      </c>
      <c r="J82" s="12">
        <v>5000</v>
      </c>
      <c r="K82" s="12">
        <v>25000</v>
      </c>
      <c r="L82" s="10"/>
      <c r="M82" s="10"/>
      <c r="N82" s="12">
        <v>25000</v>
      </c>
      <c r="O82" s="12">
        <v>3731.54</v>
      </c>
      <c r="P82" s="12">
        <v>18657.7</v>
      </c>
      <c r="Q82" s="12">
        <v>6342.3</v>
      </c>
    </row>
    <row r="83" spans="1:17" x14ac:dyDescent="0.3">
      <c r="A83" s="8">
        <v>46093</v>
      </c>
      <c r="B83" s="10"/>
      <c r="D83" s="11" t="s">
        <v>1073</v>
      </c>
      <c r="E83" s="11" t="s">
        <v>1117</v>
      </c>
      <c r="F83" s="10"/>
      <c r="G83" s="11" t="s">
        <v>933</v>
      </c>
      <c r="H83" s="11">
        <v>1</v>
      </c>
      <c r="I83" s="11" t="s">
        <v>183</v>
      </c>
      <c r="J83" s="12">
        <v>1700</v>
      </c>
      <c r="K83" s="12">
        <v>1700</v>
      </c>
      <c r="L83" s="10"/>
      <c r="M83" s="10"/>
      <c r="N83" s="12">
        <v>1700</v>
      </c>
      <c r="O83" s="10"/>
      <c r="P83" s="11" t="s">
        <v>922</v>
      </c>
      <c r="Q83" s="12">
        <v>1700</v>
      </c>
    </row>
    <row r="84" spans="1:17" hidden="1" x14ac:dyDescent="0.3">
      <c r="A84" s="8">
        <v>46093</v>
      </c>
      <c r="B84" s="10"/>
      <c r="D84" s="11" t="s">
        <v>71</v>
      </c>
      <c r="E84" s="11" t="s">
        <v>1027</v>
      </c>
      <c r="F84" s="10"/>
      <c r="G84" s="11" t="s">
        <v>907</v>
      </c>
      <c r="H84" s="11">
        <v>1</v>
      </c>
      <c r="I84" s="11" t="s">
        <v>100</v>
      </c>
      <c r="J84" s="12">
        <v>6100</v>
      </c>
      <c r="K84" s="12">
        <v>6100</v>
      </c>
      <c r="L84" s="10"/>
      <c r="M84" s="10"/>
      <c r="N84" s="12">
        <v>6100</v>
      </c>
      <c r="O84" s="12">
        <v>3731.54</v>
      </c>
      <c r="P84" s="12">
        <v>3731.54</v>
      </c>
      <c r="Q84" s="12">
        <v>2368.46</v>
      </c>
    </row>
    <row r="85" spans="1:17" hidden="1" x14ac:dyDescent="0.3">
      <c r="A85" s="8">
        <v>46093</v>
      </c>
      <c r="B85" s="10"/>
      <c r="D85" s="11" t="s">
        <v>620</v>
      </c>
      <c r="E85" s="11" t="s">
        <v>906</v>
      </c>
      <c r="F85" s="10"/>
      <c r="G85" s="11" t="s">
        <v>907</v>
      </c>
      <c r="H85" s="11">
        <v>2</v>
      </c>
      <c r="I85" s="11" t="s">
        <v>77</v>
      </c>
      <c r="J85" s="12">
        <v>350</v>
      </c>
      <c r="K85" s="12">
        <v>700</v>
      </c>
      <c r="L85" s="10"/>
      <c r="M85" s="10"/>
      <c r="N85" s="12">
        <v>700</v>
      </c>
      <c r="O85" s="12">
        <v>178.31</v>
      </c>
      <c r="P85" s="12">
        <v>356.62</v>
      </c>
      <c r="Q85" s="12">
        <v>343.38</v>
      </c>
    </row>
    <row r="86" spans="1:17" hidden="1" x14ac:dyDescent="0.3">
      <c r="A86" s="8">
        <v>46093</v>
      </c>
      <c r="B86" s="10"/>
      <c r="D86" s="11" t="s">
        <v>1073</v>
      </c>
      <c r="E86" s="11" t="s">
        <v>1118</v>
      </c>
      <c r="F86" s="10"/>
      <c r="G86" s="11" t="s">
        <v>907</v>
      </c>
      <c r="H86" s="11">
        <v>4</v>
      </c>
      <c r="I86" s="11" t="s">
        <v>91</v>
      </c>
      <c r="J86" s="12">
        <v>5500</v>
      </c>
      <c r="K86" s="12">
        <v>22000</v>
      </c>
      <c r="L86" s="10"/>
      <c r="M86" s="10"/>
      <c r="N86" s="12">
        <v>22000</v>
      </c>
      <c r="O86" s="12">
        <v>3731.54</v>
      </c>
      <c r="P86" s="12">
        <v>14926.16</v>
      </c>
      <c r="Q86" s="12">
        <v>7073.84</v>
      </c>
    </row>
    <row r="87" spans="1:17" x14ac:dyDescent="0.3">
      <c r="A87" s="8">
        <v>46093</v>
      </c>
      <c r="B87" s="10"/>
      <c r="D87" s="11" t="s">
        <v>1073</v>
      </c>
      <c r="E87" s="11" t="s">
        <v>1118</v>
      </c>
      <c r="F87" s="10"/>
      <c r="G87" s="11" t="s">
        <v>933</v>
      </c>
      <c r="H87" s="11">
        <v>1</v>
      </c>
      <c r="I87" s="11" t="s">
        <v>183</v>
      </c>
      <c r="J87" s="12">
        <v>1300</v>
      </c>
      <c r="K87" s="12">
        <v>1300</v>
      </c>
      <c r="L87" s="10"/>
      <c r="M87" s="10"/>
      <c r="N87" s="12">
        <v>1300</v>
      </c>
      <c r="O87" s="10"/>
      <c r="P87" s="11" t="s">
        <v>922</v>
      </c>
      <c r="Q87" s="12">
        <v>1300</v>
      </c>
    </row>
    <row r="88" spans="1:17" hidden="1" x14ac:dyDescent="0.3">
      <c r="A88" s="8">
        <v>46094</v>
      </c>
      <c r="B88" s="10"/>
      <c r="D88" s="11" t="s">
        <v>89</v>
      </c>
      <c r="E88" s="11" t="s">
        <v>1119</v>
      </c>
      <c r="F88" s="10"/>
      <c r="G88" s="11" t="s">
        <v>907</v>
      </c>
      <c r="H88" s="11">
        <v>10</v>
      </c>
      <c r="I88" s="11" t="s">
        <v>91</v>
      </c>
      <c r="J88" s="12">
        <v>5250</v>
      </c>
      <c r="K88" s="12">
        <v>52500</v>
      </c>
      <c r="L88" s="10"/>
      <c r="M88" s="10"/>
      <c r="N88" s="12">
        <v>52500</v>
      </c>
      <c r="O88" s="12">
        <v>3731.54</v>
      </c>
      <c r="P88" s="12">
        <v>37315.4</v>
      </c>
      <c r="Q88" s="12">
        <v>15184.6</v>
      </c>
    </row>
    <row r="89" spans="1:17" hidden="1" x14ac:dyDescent="0.3">
      <c r="A89" s="8">
        <v>46094</v>
      </c>
      <c r="B89" s="10"/>
      <c r="D89" s="11" t="s">
        <v>71</v>
      </c>
      <c r="E89" s="11" t="s">
        <v>1120</v>
      </c>
      <c r="F89" s="10"/>
      <c r="G89" s="11" t="s">
        <v>907</v>
      </c>
      <c r="H89" s="11">
        <v>1</v>
      </c>
      <c r="I89" s="11" t="s">
        <v>100</v>
      </c>
      <c r="J89" s="12">
        <v>6100</v>
      </c>
      <c r="K89" s="12">
        <v>6100</v>
      </c>
      <c r="L89" s="10"/>
      <c r="M89" s="10"/>
      <c r="N89" s="12">
        <v>6100</v>
      </c>
      <c r="O89" s="12">
        <v>3731.54</v>
      </c>
      <c r="P89" s="12">
        <v>3731.54</v>
      </c>
      <c r="Q89" s="12">
        <v>2368.46</v>
      </c>
    </row>
    <row r="90" spans="1:17" hidden="1" x14ac:dyDescent="0.3">
      <c r="A90" s="8">
        <v>46094</v>
      </c>
      <c r="B90" s="10"/>
      <c r="D90" s="11" t="s">
        <v>71</v>
      </c>
      <c r="E90" s="11" t="s">
        <v>1059</v>
      </c>
      <c r="F90" s="10"/>
      <c r="G90" s="11" t="s">
        <v>73</v>
      </c>
      <c r="H90" s="11">
        <v>4</v>
      </c>
      <c r="I90" s="11" t="s">
        <v>234</v>
      </c>
      <c r="J90" s="12">
        <v>690</v>
      </c>
      <c r="K90" s="12">
        <v>2760</v>
      </c>
      <c r="L90" s="15">
        <v>2464.29</v>
      </c>
      <c r="M90" s="11">
        <v>295.70999999999998</v>
      </c>
      <c r="N90" s="10"/>
      <c r="O90" s="12">
        <v>395.83</v>
      </c>
      <c r="P90" s="12">
        <v>1583.32</v>
      </c>
      <c r="Q90" s="12">
        <v>1176.68</v>
      </c>
    </row>
    <row r="91" spans="1:17" hidden="1" x14ac:dyDescent="0.3">
      <c r="A91" s="8">
        <v>46094</v>
      </c>
      <c r="B91" s="10"/>
      <c r="D91" s="11" t="s">
        <v>71</v>
      </c>
      <c r="E91" s="11" t="s">
        <v>1121</v>
      </c>
      <c r="F91" s="10"/>
      <c r="G91" s="11" t="s">
        <v>907</v>
      </c>
      <c r="H91" s="11">
        <v>2</v>
      </c>
      <c r="I91" s="11" t="s">
        <v>77</v>
      </c>
      <c r="J91" s="12">
        <v>350</v>
      </c>
      <c r="K91" s="12">
        <v>700</v>
      </c>
      <c r="L91" s="10"/>
      <c r="M91" s="10"/>
      <c r="N91" s="12">
        <v>700</v>
      </c>
      <c r="O91" s="12">
        <v>178.31</v>
      </c>
      <c r="P91" s="12">
        <v>356.62</v>
      </c>
      <c r="Q91" s="12">
        <v>343.38</v>
      </c>
    </row>
    <row r="92" spans="1:17" hidden="1" x14ac:dyDescent="0.3">
      <c r="A92" s="8">
        <v>46094</v>
      </c>
      <c r="B92" s="10"/>
      <c r="D92" s="11" t="s">
        <v>71</v>
      </c>
      <c r="E92" s="11" t="s">
        <v>1122</v>
      </c>
      <c r="F92" s="10"/>
      <c r="G92" s="11" t="s">
        <v>907</v>
      </c>
      <c r="H92" s="11">
        <v>1</v>
      </c>
      <c r="I92" s="11" t="s">
        <v>100</v>
      </c>
      <c r="J92" s="12">
        <v>6100</v>
      </c>
      <c r="K92" s="12">
        <v>6100</v>
      </c>
      <c r="L92" s="10"/>
      <c r="M92" s="10"/>
      <c r="N92" s="12">
        <v>6100</v>
      </c>
      <c r="O92" s="12">
        <v>3731.54</v>
      </c>
      <c r="P92" s="12">
        <v>3731.54</v>
      </c>
      <c r="Q92" s="12">
        <v>2368.46</v>
      </c>
    </row>
    <row r="93" spans="1:17" hidden="1" x14ac:dyDescent="0.3">
      <c r="A93" s="8">
        <v>46094</v>
      </c>
      <c r="B93" s="10"/>
      <c r="D93" s="11" t="s">
        <v>71</v>
      </c>
      <c r="E93" s="11" t="s">
        <v>1123</v>
      </c>
      <c r="F93" s="10"/>
      <c r="G93" s="11" t="s">
        <v>897</v>
      </c>
      <c r="H93" s="11">
        <v>6</v>
      </c>
      <c r="I93" s="11" t="s">
        <v>149</v>
      </c>
      <c r="J93" s="12">
        <v>300</v>
      </c>
      <c r="K93" s="12">
        <v>1800</v>
      </c>
      <c r="L93" s="15">
        <v>1607.14</v>
      </c>
      <c r="M93" s="11">
        <v>192.86</v>
      </c>
      <c r="N93" s="10"/>
      <c r="O93" s="12">
        <v>119.01</v>
      </c>
      <c r="P93" s="12">
        <v>714.06</v>
      </c>
      <c r="Q93" s="12">
        <v>1085.94</v>
      </c>
    </row>
    <row r="94" spans="1:17" hidden="1" x14ac:dyDescent="0.3">
      <c r="A94" s="8">
        <v>46094</v>
      </c>
      <c r="B94" s="10"/>
      <c r="D94" s="11" t="s">
        <v>71</v>
      </c>
      <c r="E94" s="11" t="s">
        <v>1124</v>
      </c>
      <c r="F94" s="10"/>
      <c r="G94" s="11" t="s">
        <v>907</v>
      </c>
      <c r="H94" s="11">
        <v>1</v>
      </c>
      <c r="I94" s="11" t="s">
        <v>77</v>
      </c>
      <c r="J94" s="12">
        <v>350</v>
      </c>
      <c r="K94" s="12">
        <v>350</v>
      </c>
      <c r="L94" s="10"/>
      <c r="M94" s="10"/>
      <c r="N94" s="12">
        <v>350</v>
      </c>
      <c r="O94" s="12">
        <v>178.31</v>
      </c>
      <c r="P94" s="12">
        <v>178.31</v>
      </c>
      <c r="Q94" s="12">
        <v>171.69</v>
      </c>
    </row>
    <row r="95" spans="1:17" hidden="1" x14ac:dyDescent="0.3">
      <c r="A95" s="8">
        <v>46095</v>
      </c>
      <c r="B95" s="10"/>
      <c r="D95" s="11" t="s">
        <v>71</v>
      </c>
      <c r="E95" s="11" t="s">
        <v>1125</v>
      </c>
      <c r="F95" s="10"/>
      <c r="G95" s="11" t="s">
        <v>907</v>
      </c>
      <c r="H95" s="11">
        <v>1</v>
      </c>
      <c r="I95" s="11" t="s">
        <v>100</v>
      </c>
      <c r="J95" s="12">
        <v>6100</v>
      </c>
      <c r="K95" s="12">
        <v>6100</v>
      </c>
      <c r="L95" s="10"/>
      <c r="M95" s="10"/>
      <c r="N95" s="12">
        <v>6100</v>
      </c>
      <c r="O95" s="12">
        <v>3731.54</v>
      </c>
      <c r="P95" s="12">
        <v>3731.54</v>
      </c>
      <c r="Q95" s="12">
        <v>2368.46</v>
      </c>
    </row>
    <row r="96" spans="1:17" hidden="1" x14ac:dyDescent="0.3">
      <c r="A96" s="8">
        <v>46095</v>
      </c>
      <c r="B96" s="10"/>
      <c r="D96" s="11" t="s">
        <v>71</v>
      </c>
      <c r="E96" s="11" t="s">
        <v>1125</v>
      </c>
      <c r="F96" s="10"/>
      <c r="G96" s="11" t="s">
        <v>973</v>
      </c>
      <c r="H96" s="11">
        <v>1</v>
      </c>
      <c r="I96" s="11" t="s">
        <v>74</v>
      </c>
      <c r="J96" s="12">
        <v>300</v>
      </c>
      <c r="K96" s="12">
        <v>300</v>
      </c>
      <c r="L96" s="11">
        <v>267.86</v>
      </c>
      <c r="M96" s="11">
        <v>32.14</v>
      </c>
      <c r="N96" s="10"/>
      <c r="O96" s="12">
        <v>39.200000000000003</v>
      </c>
      <c r="P96" s="12">
        <v>39.200000000000003</v>
      </c>
      <c r="Q96" s="12">
        <v>260.8</v>
      </c>
    </row>
    <row r="97" spans="1:17" hidden="1" x14ac:dyDescent="0.3">
      <c r="A97" s="8">
        <v>46095</v>
      </c>
      <c r="B97" s="10"/>
      <c r="D97" s="11" t="s">
        <v>71</v>
      </c>
      <c r="E97" s="11" t="s">
        <v>1077</v>
      </c>
      <c r="F97" s="10"/>
      <c r="G97" s="11" t="s">
        <v>907</v>
      </c>
      <c r="H97" s="11">
        <v>1</v>
      </c>
      <c r="I97" s="11" t="s">
        <v>77</v>
      </c>
      <c r="J97" s="12">
        <v>350</v>
      </c>
      <c r="K97" s="12">
        <v>350</v>
      </c>
      <c r="L97" s="10"/>
      <c r="M97" s="10"/>
      <c r="N97" s="12">
        <v>350</v>
      </c>
      <c r="O97" s="12">
        <v>178.31</v>
      </c>
      <c r="P97" s="12">
        <v>178.31</v>
      </c>
      <c r="Q97" s="12">
        <v>171.69</v>
      </c>
    </row>
    <row r="98" spans="1:17" hidden="1" x14ac:dyDescent="0.3">
      <c r="A98" s="8">
        <v>46095</v>
      </c>
      <c r="B98" s="10"/>
      <c r="D98" s="11" t="s">
        <v>89</v>
      </c>
      <c r="E98" s="11" t="s">
        <v>952</v>
      </c>
      <c r="F98" s="10"/>
      <c r="G98" s="11" t="s">
        <v>907</v>
      </c>
      <c r="H98" s="11">
        <v>5</v>
      </c>
      <c r="I98" s="11" t="s">
        <v>91</v>
      </c>
      <c r="J98" s="12">
        <v>5250</v>
      </c>
      <c r="K98" s="12">
        <v>26250</v>
      </c>
      <c r="L98" s="10"/>
      <c r="M98" s="10"/>
      <c r="N98" s="12">
        <v>26250</v>
      </c>
      <c r="O98" s="12">
        <v>3731.54</v>
      </c>
      <c r="P98" s="12">
        <v>18657.7</v>
      </c>
      <c r="Q98" s="12">
        <v>7592.3</v>
      </c>
    </row>
    <row r="99" spans="1:17" hidden="1" x14ac:dyDescent="0.3">
      <c r="A99" s="8">
        <v>46095</v>
      </c>
      <c r="B99" s="10"/>
      <c r="D99" s="11" t="s">
        <v>71</v>
      </c>
      <c r="E99" s="11" t="s">
        <v>1126</v>
      </c>
      <c r="F99" s="10"/>
      <c r="G99" s="11" t="s">
        <v>907</v>
      </c>
      <c r="H99" s="11">
        <v>2</v>
      </c>
      <c r="I99" s="11" t="s">
        <v>77</v>
      </c>
      <c r="J99" s="12">
        <v>350</v>
      </c>
      <c r="K99" s="12">
        <v>700</v>
      </c>
      <c r="L99" s="10"/>
      <c r="M99" s="10"/>
      <c r="N99" s="12">
        <v>700</v>
      </c>
      <c r="O99" s="12">
        <v>178.31</v>
      </c>
      <c r="P99" s="12">
        <v>356.62</v>
      </c>
      <c r="Q99" s="12">
        <v>343.38</v>
      </c>
    </row>
    <row r="100" spans="1:17" hidden="1" x14ac:dyDescent="0.3">
      <c r="A100" s="8">
        <v>46095</v>
      </c>
      <c r="B100" s="10"/>
      <c r="D100" s="11" t="s">
        <v>71</v>
      </c>
      <c r="E100" s="11" t="s">
        <v>1042</v>
      </c>
      <c r="F100" s="10"/>
      <c r="G100" s="11" t="s">
        <v>907</v>
      </c>
      <c r="H100" s="11">
        <v>1</v>
      </c>
      <c r="I100" s="11" t="s">
        <v>100</v>
      </c>
      <c r="J100" s="12">
        <v>6100</v>
      </c>
      <c r="K100" s="12">
        <v>6100</v>
      </c>
      <c r="L100" s="10"/>
      <c r="M100" s="10"/>
      <c r="N100" s="12">
        <v>6100</v>
      </c>
      <c r="O100" s="12">
        <v>3731.54</v>
      </c>
      <c r="P100" s="12">
        <v>3731.54</v>
      </c>
      <c r="Q100" s="12">
        <v>2368.46</v>
      </c>
    </row>
    <row r="101" spans="1:17" hidden="1" x14ac:dyDescent="0.3">
      <c r="A101" s="8">
        <v>46095</v>
      </c>
      <c r="B101" s="10"/>
      <c r="D101" s="11" t="s">
        <v>71</v>
      </c>
      <c r="E101" s="11" t="s">
        <v>1105</v>
      </c>
      <c r="F101" s="10"/>
      <c r="G101" s="11" t="s">
        <v>907</v>
      </c>
      <c r="H101" s="11">
        <v>1</v>
      </c>
      <c r="I101" s="11" t="s">
        <v>100</v>
      </c>
      <c r="J101" s="12">
        <v>6100</v>
      </c>
      <c r="K101" s="12">
        <v>6100</v>
      </c>
      <c r="L101" s="10"/>
      <c r="M101" s="10"/>
      <c r="N101" s="12">
        <v>6100</v>
      </c>
      <c r="O101" s="12">
        <v>3731.54</v>
      </c>
      <c r="P101" s="12">
        <v>3731.54</v>
      </c>
      <c r="Q101" s="12">
        <v>2368.46</v>
      </c>
    </row>
    <row r="102" spans="1:17" hidden="1" x14ac:dyDescent="0.3">
      <c r="A102" s="8">
        <v>46095</v>
      </c>
      <c r="B102" s="10"/>
      <c r="D102" s="11" t="s">
        <v>89</v>
      </c>
      <c r="E102" s="11" t="s">
        <v>633</v>
      </c>
      <c r="F102" s="10"/>
      <c r="G102" s="11" t="s">
        <v>907</v>
      </c>
      <c r="H102" s="11">
        <v>1</v>
      </c>
      <c r="I102" s="11" t="s">
        <v>100</v>
      </c>
      <c r="J102" s="12">
        <v>5500</v>
      </c>
      <c r="K102" s="12">
        <v>5500</v>
      </c>
      <c r="L102" s="10"/>
      <c r="M102" s="10"/>
      <c r="N102" s="12">
        <v>5500</v>
      </c>
      <c r="O102" s="12">
        <v>3731.54</v>
      </c>
      <c r="P102" s="12">
        <v>3731.54</v>
      </c>
      <c r="Q102" s="12">
        <v>1768.46</v>
      </c>
    </row>
    <row r="103" spans="1:17" hidden="1" x14ac:dyDescent="0.3">
      <c r="A103" s="8">
        <v>46097</v>
      </c>
      <c r="B103" s="10"/>
      <c r="D103" s="11" t="s">
        <v>71</v>
      </c>
      <c r="E103" s="11" t="s">
        <v>1110</v>
      </c>
      <c r="F103" s="10"/>
      <c r="G103" s="11" t="s">
        <v>907</v>
      </c>
      <c r="H103" s="11">
        <v>1</v>
      </c>
      <c r="I103" s="11" t="s">
        <v>100</v>
      </c>
      <c r="J103" s="12">
        <v>6100</v>
      </c>
      <c r="K103" s="12">
        <v>6100</v>
      </c>
      <c r="L103" s="10"/>
      <c r="M103" s="10"/>
      <c r="N103" s="12">
        <v>6100</v>
      </c>
      <c r="O103" s="12">
        <v>3731.54</v>
      </c>
      <c r="P103" s="12">
        <v>3731.54</v>
      </c>
      <c r="Q103" s="12">
        <v>2368.46</v>
      </c>
    </row>
    <row r="104" spans="1:17" hidden="1" x14ac:dyDescent="0.3">
      <c r="A104" s="8">
        <v>46097</v>
      </c>
      <c r="B104" s="10"/>
      <c r="D104" s="11" t="s">
        <v>71</v>
      </c>
      <c r="E104" s="11" t="s">
        <v>1127</v>
      </c>
      <c r="F104" s="10"/>
      <c r="G104" s="11" t="s">
        <v>73</v>
      </c>
      <c r="H104" s="11">
        <v>3</v>
      </c>
      <c r="I104" s="11" t="s">
        <v>74</v>
      </c>
      <c r="J104" s="12">
        <v>690</v>
      </c>
      <c r="K104" s="12">
        <v>2070</v>
      </c>
      <c r="L104" s="15">
        <v>1848.21</v>
      </c>
      <c r="M104" s="11">
        <v>221.79</v>
      </c>
      <c r="N104" s="10"/>
      <c r="O104" s="12">
        <v>395.83</v>
      </c>
      <c r="P104" s="12">
        <v>1187.49</v>
      </c>
      <c r="Q104" s="12">
        <v>882.51</v>
      </c>
    </row>
    <row r="105" spans="1:17" hidden="1" x14ac:dyDescent="0.3">
      <c r="A105" s="8">
        <v>46097</v>
      </c>
      <c r="B105" s="10"/>
      <c r="D105" s="11" t="s">
        <v>71</v>
      </c>
      <c r="E105" s="11" t="s">
        <v>1128</v>
      </c>
      <c r="F105" s="10"/>
      <c r="G105" s="11" t="s">
        <v>907</v>
      </c>
      <c r="H105" s="11">
        <v>5</v>
      </c>
      <c r="I105" s="11" t="s">
        <v>77</v>
      </c>
      <c r="J105" s="12">
        <v>350</v>
      </c>
      <c r="K105" s="12">
        <v>1750</v>
      </c>
      <c r="L105" s="10"/>
      <c r="M105" s="10"/>
      <c r="N105" s="12">
        <v>1750</v>
      </c>
      <c r="O105" s="12">
        <v>178.31</v>
      </c>
      <c r="P105" s="12">
        <v>891.55</v>
      </c>
      <c r="Q105" s="12">
        <v>858.45</v>
      </c>
    </row>
    <row r="106" spans="1:17" hidden="1" x14ac:dyDescent="0.3">
      <c r="A106" s="8">
        <v>46097</v>
      </c>
      <c r="B106" s="10"/>
      <c r="D106" s="11" t="s">
        <v>143</v>
      </c>
      <c r="E106" s="11" t="s">
        <v>1129</v>
      </c>
      <c r="F106" s="10"/>
      <c r="G106" s="11" t="s">
        <v>907</v>
      </c>
      <c r="H106" s="11">
        <v>5</v>
      </c>
      <c r="I106" s="11" t="s">
        <v>100</v>
      </c>
      <c r="J106" s="12">
        <v>5250</v>
      </c>
      <c r="K106" s="12">
        <v>26250</v>
      </c>
      <c r="L106" s="10"/>
      <c r="M106" s="10"/>
      <c r="N106" s="12">
        <v>26250</v>
      </c>
      <c r="O106" s="12">
        <v>3731.54</v>
      </c>
      <c r="P106" s="12">
        <v>18657.7</v>
      </c>
      <c r="Q106" s="12">
        <v>7592.3</v>
      </c>
    </row>
    <row r="107" spans="1:17" x14ac:dyDescent="0.3">
      <c r="A107" s="8">
        <v>46097</v>
      </c>
      <c r="B107" s="10"/>
      <c r="D107" s="11" t="s">
        <v>143</v>
      </c>
      <c r="E107" s="11" t="s">
        <v>1129</v>
      </c>
      <c r="F107" s="10"/>
      <c r="G107" s="11" t="s">
        <v>933</v>
      </c>
      <c r="H107" s="11">
        <v>1</v>
      </c>
      <c r="I107" s="11" t="s">
        <v>183</v>
      </c>
      <c r="J107" s="12">
        <v>3000</v>
      </c>
      <c r="K107" s="12">
        <v>3000</v>
      </c>
      <c r="L107" s="10"/>
      <c r="M107" s="10"/>
      <c r="N107" s="12">
        <v>3000</v>
      </c>
      <c r="O107" s="11" t="s">
        <v>922</v>
      </c>
      <c r="P107" s="11" t="s">
        <v>922</v>
      </c>
      <c r="Q107" s="12">
        <v>3000</v>
      </c>
    </row>
    <row r="108" spans="1:17" hidden="1" x14ac:dyDescent="0.3">
      <c r="A108" s="8">
        <v>46097</v>
      </c>
      <c r="B108" s="10"/>
      <c r="D108" s="11" t="s">
        <v>71</v>
      </c>
      <c r="E108" s="11" t="s">
        <v>1130</v>
      </c>
      <c r="F108" s="10"/>
      <c r="G108" s="11" t="s">
        <v>907</v>
      </c>
      <c r="H108" s="11">
        <v>1</v>
      </c>
      <c r="I108" s="11" t="s">
        <v>100</v>
      </c>
      <c r="J108" s="12">
        <v>6100</v>
      </c>
      <c r="K108" s="12">
        <v>6100</v>
      </c>
      <c r="L108" s="10"/>
      <c r="M108" s="10"/>
      <c r="N108" s="12">
        <v>6100</v>
      </c>
      <c r="O108" s="12">
        <v>3731.54</v>
      </c>
      <c r="P108" s="12">
        <v>3731.54</v>
      </c>
      <c r="Q108" s="12">
        <v>2368.46</v>
      </c>
    </row>
    <row r="109" spans="1:17" hidden="1" x14ac:dyDescent="0.3">
      <c r="A109" s="8">
        <v>46097</v>
      </c>
      <c r="B109" s="10"/>
      <c r="D109" s="11" t="s">
        <v>71</v>
      </c>
      <c r="E109" s="11" t="s">
        <v>1131</v>
      </c>
      <c r="F109" s="10"/>
      <c r="G109" s="11" t="s">
        <v>907</v>
      </c>
      <c r="H109" s="11">
        <v>1</v>
      </c>
      <c r="I109" s="11" t="s">
        <v>100</v>
      </c>
      <c r="J109" s="12">
        <v>6100</v>
      </c>
      <c r="K109" s="12">
        <v>6100</v>
      </c>
      <c r="L109" s="10"/>
      <c r="M109" s="10"/>
      <c r="N109" s="12">
        <v>6100</v>
      </c>
      <c r="O109" s="12">
        <v>3731.54</v>
      </c>
      <c r="P109" s="12">
        <v>3731.54</v>
      </c>
      <c r="Q109" s="12">
        <v>2368.46</v>
      </c>
    </row>
    <row r="110" spans="1:17" hidden="1" x14ac:dyDescent="0.3">
      <c r="A110" s="8">
        <v>46097</v>
      </c>
      <c r="B110" s="10"/>
      <c r="D110" s="11" t="s">
        <v>89</v>
      </c>
      <c r="E110" s="11" t="s">
        <v>1119</v>
      </c>
      <c r="F110" s="10"/>
      <c r="G110" s="11" t="s">
        <v>907</v>
      </c>
      <c r="H110" s="11">
        <v>7</v>
      </c>
      <c r="I110" s="11" t="s">
        <v>91</v>
      </c>
      <c r="J110" s="12">
        <v>5250</v>
      </c>
      <c r="K110" s="12">
        <v>36750</v>
      </c>
      <c r="L110" s="10"/>
      <c r="M110" s="10"/>
      <c r="N110" s="12">
        <v>36750</v>
      </c>
      <c r="O110" s="12">
        <v>3731.54</v>
      </c>
      <c r="P110" s="12">
        <v>26120.78</v>
      </c>
      <c r="Q110" s="12">
        <v>10629.22</v>
      </c>
    </row>
    <row r="111" spans="1:17" hidden="1" x14ac:dyDescent="0.3">
      <c r="A111" s="8">
        <v>46097</v>
      </c>
      <c r="B111" s="10"/>
      <c r="D111" s="11" t="s">
        <v>71</v>
      </c>
      <c r="E111" s="11" t="s">
        <v>1042</v>
      </c>
      <c r="F111" s="10"/>
      <c r="G111" s="11" t="s">
        <v>907</v>
      </c>
      <c r="H111" s="11">
        <v>1</v>
      </c>
      <c r="I111" s="11" t="s">
        <v>100</v>
      </c>
      <c r="J111" s="12">
        <v>6100</v>
      </c>
      <c r="K111" s="12">
        <v>6100</v>
      </c>
      <c r="L111" s="10"/>
      <c r="M111" s="10"/>
      <c r="N111" s="12">
        <v>6100</v>
      </c>
      <c r="O111" s="12">
        <v>3731.54</v>
      </c>
      <c r="P111" s="12">
        <v>3731.54</v>
      </c>
      <c r="Q111" s="12">
        <v>2368.46</v>
      </c>
    </row>
    <row r="112" spans="1:17" hidden="1" x14ac:dyDescent="0.3">
      <c r="A112" s="8">
        <v>46097</v>
      </c>
      <c r="B112" s="10"/>
      <c r="D112" s="11" t="s">
        <v>915</v>
      </c>
      <c r="E112" s="11" t="s">
        <v>990</v>
      </c>
      <c r="F112" s="10"/>
      <c r="G112" s="11" t="s">
        <v>907</v>
      </c>
      <c r="H112" s="11">
        <v>64</v>
      </c>
      <c r="I112" s="11" t="s">
        <v>77</v>
      </c>
      <c r="J112" s="12">
        <v>234.38</v>
      </c>
      <c r="K112" s="12">
        <v>15000</v>
      </c>
      <c r="L112" s="10"/>
      <c r="M112" s="10"/>
      <c r="N112" s="12">
        <v>15000</v>
      </c>
      <c r="O112" s="12">
        <v>178.31</v>
      </c>
      <c r="P112" s="12">
        <v>11411.84</v>
      </c>
      <c r="Q112" s="12">
        <v>3588.16</v>
      </c>
    </row>
    <row r="113" spans="1:17" hidden="1" x14ac:dyDescent="0.3">
      <c r="A113" s="8">
        <v>46098</v>
      </c>
      <c r="B113" s="11" t="s">
        <v>634</v>
      </c>
      <c r="D113" s="11" t="s">
        <v>1132</v>
      </c>
      <c r="E113" s="11" t="s">
        <v>1133</v>
      </c>
      <c r="F113" s="11" t="s">
        <v>1134</v>
      </c>
      <c r="G113" s="11" t="s">
        <v>1135</v>
      </c>
      <c r="H113" s="11">
        <v>2</v>
      </c>
      <c r="I113" s="11" t="s">
        <v>86</v>
      </c>
      <c r="J113" s="12">
        <v>6500</v>
      </c>
      <c r="K113" s="12">
        <v>13000</v>
      </c>
      <c r="L113" s="15">
        <v>11607.14</v>
      </c>
      <c r="M113" s="15">
        <v>1392.86</v>
      </c>
      <c r="N113" s="11" t="s">
        <v>922</v>
      </c>
      <c r="O113" s="12">
        <v>4771.0200000000004</v>
      </c>
      <c r="P113" s="12">
        <v>9542.0400000000009</v>
      </c>
      <c r="Q113" s="12">
        <v>3457.96</v>
      </c>
    </row>
    <row r="114" spans="1:17" hidden="1" x14ac:dyDescent="0.3">
      <c r="A114" s="8">
        <v>46098</v>
      </c>
      <c r="B114" s="10"/>
      <c r="D114" s="11" t="s">
        <v>71</v>
      </c>
      <c r="E114" s="11" t="s">
        <v>1136</v>
      </c>
      <c r="F114" s="10"/>
      <c r="G114" s="11" t="s">
        <v>940</v>
      </c>
      <c r="H114" s="11">
        <v>2</v>
      </c>
      <c r="I114" s="11" t="s">
        <v>74</v>
      </c>
      <c r="J114" s="12">
        <v>300</v>
      </c>
      <c r="K114" s="12">
        <v>600</v>
      </c>
      <c r="L114" s="11">
        <v>535.71</v>
      </c>
      <c r="M114" s="11">
        <v>64.290000000000006</v>
      </c>
      <c r="N114" s="10"/>
      <c r="O114" s="12">
        <v>84.68</v>
      </c>
      <c r="P114" s="12">
        <v>169.36</v>
      </c>
      <c r="Q114" s="12">
        <v>430.64</v>
      </c>
    </row>
    <row r="115" spans="1:17" hidden="1" x14ac:dyDescent="0.3">
      <c r="A115" s="8">
        <v>46098</v>
      </c>
      <c r="B115" s="10"/>
      <c r="D115" s="11" t="s">
        <v>1137</v>
      </c>
      <c r="E115" s="11" t="s">
        <v>210</v>
      </c>
      <c r="F115" s="10"/>
      <c r="G115" s="11" t="s">
        <v>907</v>
      </c>
      <c r="H115" s="11">
        <v>5</v>
      </c>
      <c r="I115" s="11" t="s">
        <v>91</v>
      </c>
      <c r="J115" s="12">
        <v>5500</v>
      </c>
      <c r="K115" s="12">
        <v>27500</v>
      </c>
      <c r="L115" s="10"/>
      <c r="M115" s="10"/>
      <c r="N115" s="12">
        <v>27500</v>
      </c>
      <c r="O115" s="12">
        <v>3731.54</v>
      </c>
      <c r="P115" s="12">
        <v>18657.7</v>
      </c>
      <c r="Q115" s="12">
        <v>8842.2999999999993</v>
      </c>
    </row>
    <row r="116" spans="1:17" hidden="1" x14ac:dyDescent="0.3">
      <c r="A116" s="8">
        <v>46099</v>
      </c>
      <c r="B116" s="10"/>
      <c r="D116" s="11" t="s">
        <v>71</v>
      </c>
      <c r="E116" s="11" t="s">
        <v>1138</v>
      </c>
      <c r="F116" s="10"/>
      <c r="G116" s="11" t="s">
        <v>907</v>
      </c>
      <c r="H116" s="11">
        <v>1</v>
      </c>
      <c r="I116" s="11" t="s">
        <v>100</v>
      </c>
      <c r="J116" s="12">
        <v>6100</v>
      </c>
      <c r="K116" s="12">
        <v>6100</v>
      </c>
      <c r="L116" s="10"/>
      <c r="M116" s="10"/>
      <c r="N116" s="12">
        <v>6100</v>
      </c>
      <c r="O116" s="12">
        <v>3731.54</v>
      </c>
      <c r="P116" s="12">
        <v>3731.54</v>
      </c>
      <c r="Q116" s="12">
        <v>2368.46</v>
      </c>
    </row>
    <row r="117" spans="1:17" hidden="1" x14ac:dyDescent="0.3">
      <c r="A117" s="8">
        <v>46099</v>
      </c>
      <c r="B117" s="10"/>
      <c r="D117" s="11" t="s">
        <v>71</v>
      </c>
      <c r="E117" s="11" t="s">
        <v>1139</v>
      </c>
      <c r="F117" s="10"/>
      <c r="G117" s="11" t="s">
        <v>625</v>
      </c>
      <c r="H117" s="11">
        <v>2</v>
      </c>
      <c r="I117" s="11" t="s">
        <v>626</v>
      </c>
      <c r="J117" s="12">
        <v>3224</v>
      </c>
      <c r="K117" s="12">
        <v>6448</v>
      </c>
      <c r="L117" s="15">
        <v>5757.14</v>
      </c>
      <c r="M117" s="11">
        <v>690.86</v>
      </c>
      <c r="N117" s="10"/>
      <c r="O117" s="12">
        <v>2110</v>
      </c>
      <c r="P117" s="12">
        <v>4220</v>
      </c>
      <c r="Q117" s="12">
        <v>2228</v>
      </c>
    </row>
    <row r="118" spans="1:17" hidden="1" x14ac:dyDescent="0.3">
      <c r="A118" s="8">
        <v>46099</v>
      </c>
      <c r="B118" s="10"/>
      <c r="D118" s="11" t="s">
        <v>71</v>
      </c>
      <c r="E118" s="11" t="s">
        <v>1140</v>
      </c>
      <c r="F118" s="10"/>
      <c r="G118" s="11" t="s">
        <v>625</v>
      </c>
      <c r="H118" s="11">
        <v>1</v>
      </c>
      <c r="I118" s="11" t="s">
        <v>626</v>
      </c>
      <c r="J118" s="12">
        <v>3224</v>
      </c>
      <c r="K118" s="12">
        <v>3224</v>
      </c>
      <c r="L118" s="15">
        <v>2878.57</v>
      </c>
      <c r="M118" s="11">
        <v>690.86</v>
      </c>
      <c r="N118" s="10"/>
      <c r="O118" s="12">
        <v>2110</v>
      </c>
      <c r="P118" s="12">
        <v>2110</v>
      </c>
      <c r="Q118" s="12">
        <v>1114</v>
      </c>
    </row>
    <row r="119" spans="1:17" hidden="1" x14ac:dyDescent="0.3">
      <c r="A119" s="8">
        <v>46099</v>
      </c>
      <c r="B119" s="10"/>
      <c r="D119" s="11" t="s">
        <v>71</v>
      </c>
      <c r="E119" s="11" t="s">
        <v>1141</v>
      </c>
      <c r="F119" s="10"/>
      <c r="G119" s="11" t="s">
        <v>907</v>
      </c>
      <c r="H119" s="11">
        <v>1</v>
      </c>
      <c r="I119" s="11" t="s">
        <v>77</v>
      </c>
      <c r="J119" s="12">
        <v>350</v>
      </c>
      <c r="K119" s="12">
        <v>350</v>
      </c>
      <c r="L119" s="10"/>
      <c r="M119" s="10"/>
      <c r="N119" s="12">
        <v>350</v>
      </c>
      <c r="O119" s="12">
        <v>178.31</v>
      </c>
      <c r="P119" s="12">
        <v>178.31</v>
      </c>
      <c r="Q119" s="12">
        <v>171.69</v>
      </c>
    </row>
    <row r="120" spans="1:17" hidden="1" x14ac:dyDescent="0.3">
      <c r="A120" s="8">
        <v>46100</v>
      </c>
      <c r="B120" s="10"/>
      <c r="D120" s="11" t="s">
        <v>71</v>
      </c>
      <c r="E120" s="11" t="s">
        <v>1142</v>
      </c>
      <c r="F120" s="10"/>
      <c r="G120" s="11" t="s">
        <v>625</v>
      </c>
      <c r="H120" s="11">
        <v>1</v>
      </c>
      <c r="I120" s="11" t="s">
        <v>626</v>
      </c>
      <c r="J120" s="12">
        <v>3224</v>
      </c>
      <c r="K120" s="12">
        <v>3224</v>
      </c>
      <c r="L120" s="15">
        <v>2878.57</v>
      </c>
      <c r="M120" s="11">
        <v>690.86</v>
      </c>
      <c r="N120" s="10"/>
      <c r="O120" s="12">
        <v>2110</v>
      </c>
      <c r="P120" s="12">
        <v>2110</v>
      </c>
      <c r="Q120" s="12">
        <v>1114</v>
      </c>
    </row>
    <row r="121" spans="1:17" hidden="1" x14ac:dyDescent="0.3">
      <c r="A121" s="8">
        <v>46100</v>
      </c>
      <c r="B121" s="10"/>
      <c r="D121" s="11" t="s">
        <v>71</v>
      </c>
      <c r="E121" s="11" t="s">
        <v>1143</v>
      </c>
      <c r="F121" s="10"/>
      <c r="G121" s="11" t="s">
        <v>73</v>
      </c>
      <c r="H121" s="11">
        <v>2</v>
      </c>
      <c r="I121" s="11" t="s">
        <v>234</v>
      </c>
      <c r="J121" s="12">
        <v>690</v>
      </c>
      <c r="K121" s="12">
        <v>1380</v>
      </c>
      <c r="L121" s="15">
        <v>1232.1400000000001</v>
      </c>
      <c r="M121" s="11">
        <v>147.86000000000001</v>
      </c>
      <c r="N121" s="10"/>
      <c r="O121" s="12">
        <v>395.83</v>
      </c>
      <c r="P121" s="12">
        <v>791.66</v>
      </c>
      <c r="Q121" s="12">
        <v>588.34</v>
      </c>
    </row>
    <row r="122" spans="1:17" hidden="1" x14ac:dyDescent="0.3">
      <c r="A122" s="8">
        <v>46100</v>
      </c>
      <c r="B122" s="10"/>
      <c r="D122" s="11" t="s">
        <v>89</v>
      </c>
      <c r="E122" s="11" t="s">
        <v>1110</v>
      </c>
      <c r="F122" s="10"/>
      <c r="G122" s="11" t="s">
        <v>907</v>
      </c>
      <c r="H122" s="11">
        <v>10</v>
      </c>
      <c r="I122" s="11" t="s">
        <v>91</v>
      </c>
      <c r="J122" s="12">
        <v>5250</v>
      </c>
      <c r="K122" s="12">
        <v>52500</v>
      </c>
      <c r="L122" s="10"/>
      <c r="M122" s="10"/>
      <c r="N122" s="12">
        <v>52500</v>
      </c>
      <c r="O122" s="12">
        <v>3731.54</v>
      </c>
      <c r="P122" s="12">
        <v>37315.4</v>
      </c>
      <c r="Q122" s="12">
        <v>15184.6</v>
      </c>
    </row>
    <row r="123" spans="1:17" hidden="1" x14ac:dyDescent="0.3">
      <c r="A123" s="8">
        <v>46101</v>
      </c>
      <c r="B123" s="10"/>
      <c r="D123" s="11" t="s">
        <v>71</v>
      </c>
      <c r="E123" s="11" t="s">
        <v>1144</v>
      </c>
      <c r="F123" s="10"/>
      <c r="G123" s="11" t="s">
        <v>907</v>
      </c>
      <c r="H123" s="11">
        <v>1</v>
      </c>
      <c r="I123" s="11" t="s">
        <v>77</v>
      </c>
      <c r="J123" s="12">
        <v>350</v>
      </c>
      <c r="K123" s="12">
        <v>350</v>
      </c>
      <c r="L123" s="10"/>
      <c r="M123" s="10"/>
      <c r="N123" s="12">
        <v>350</v>
      </c>
      <c r="O123" s="12">
        <v>178.31</v>
      </c>
      <c r="P123" s="12">
        <v>178.31</v>
      </c>
      <c r="Q123" s="12">
        <v>171.69</v>
      </c>
    </row>
    <row r="124" spans="1:17" hidden="1" x14ac:dyDescent="0.3">
      <c r="A124" s="8">
        <v>46101</v>
      </c>
      <c r="B124" s="10"/>
      <c r="D124" s="11" t="s">
        <v>71</v>
      </c>
      <c r="E124" s="11" t="s">
        <v>1107</v>
      </c>
      <c r="F124" s="10"/>
      <c r="G124" s="11" t="s">
        <v>907</v>
      </c>
      <c r="H124" s="11">
        <v>1</v>
      </c>
      <c r="I124" s="11" t="s">
        <v>77</v>
      </c>
      <c r="J124" s="12">
        <v>350</v>
      </c>
      <c r="K124" s="12">
        <v>350</v>
      </c>
      <c r="L124" s="10"/>
      <c r="M124" s="10"/>
      <c r="N124" s="12">
        <v>350</v>
      </c>
      <c r="O124" s="12">
        <v>178.31</v>
      </c>
      <c r="P124" s="12">
        <v>178.31</v>
      </c>
      <c r="Q124" s="12">
        <v>171.69</v>
      </c>
    </row>
    <row r="125" spans="1:17" hidden="1" x14ac:dyDescent="0.3">
      <c r="A125" s="8">
        <v>46101</v>
      </c>
      <c r="B125" s="10"/>
      <c r="D125" s="11" t="s">
        <v>71</v>
      </c>
      <c r="E125" s="11" t="s">
        <v>1145</v>
      </c>
      <c r="F125" s="10"/>
      <c r="G125" s="11" t="s">
        <v>111</v>
      </c>
      <c r="H125" s="11">
        <v>1</v>
      </c>
      <c r="I125" s="11" t="s">
        <v>74</v>
      </c>
      <c r="J125" s="12">
        <v>1249</v>
      </c>
      <c r="K125" s="12">
        <v>1249</v>
      </c>
      <c r="L125" s="15">
        <v>1115.18</v>
      </c>
      <c r="M125" s="11">
        <v>133.82</v>
      </c>
      <c r="N125" s="10"/>
      <c r="O125" s="12">
        <v>870</v>
      </c>
      <c r="P125" s="12">
        <v>870</v>
      </c>
      <c r="Q125" s="12">
        <v>379</v>
      </c>
    </row>
    <row r="126" spans="1:17" hidden="1" x14ac:dyDescent="0.3">
      <c r="A126" s="8">
        <v>46101</v>
      </c>
      <c r="B126" s="10"/>
      <c r="D126" s="11" t="s">
        <v>71</v>
      </c>
      <c r="E126" s="11" t="s">
        <v>1146</v>
      </c>
      <c r="F126" s="10"/>
      <c r="G126" s="11" t="s">
        <v>907</v>
      </c>
      <c r="H126" s="11">
        <v>32</v>
      </c>
      <c r="I126" s="11" t="s">
        <v>77</v>
      </c>
      <c r="J126" s="12">
        <v>240</v>
      </c>
      <c r="K126" s="12">
        <v>7680</v>
      </c>
      <c r="L126" s="10"/>
      <c r="M126" s="10"/>
      <c r="N126" s="12">
        <v>7680</v>
      </c>
      <c r="O126" s="12">
        <v>178.31</v>
      </c>
      <c r="P126" s="12">
        <v>5705.92</v>
      </c>
      <c r="Q126" s="12">
        <v>1974.08</v>
      </c>
    </row>
    <row r="127" spans="1:17" hidden="1" x14ac:dyDescent="0.3">
      <c r="A127" s="8">
        <v>46101</v>
      </c>
      <c r="B127" s="10"/>
      <c r="D127" s="11" t="s">
        <v>71</v>
      </c>
      <c r="E127" s="11" t="s">
        <v>918</v>
      </c>
      <c r="F127" s="10"/>
      <c r="G127" s="11" t="s">
        <v>907</v>
      </c>
      <c r="H127" s="11">
        <v>4</v>
      </c>
      <c r="I127" s="11" t="s">
        <v>77</v>
      </c>
      <c r="J127" s="12">
        <v>350</v>
      </c>
      <c r="K127" s="12">
        <v>1400</v>
      </c>
      <c r="L127" s="10"/>
      <c r="M127" s="10"/>
      <c r="N127" s="12">
        <v>1400</v>
      </c>
      <c r="O127" s="12">
        <v>178.31</v>
      </c>
      <c r="P127" s="12">
        <v>713.24</v>
      </c>
      <c r="Q127" s="12">
        <v>686.76</v>
      </c>
    </row>
    <row r="128" spans="1:17" hidden="1" x14ac:dyDescent="0.3">
      <c r="A128" s="8">
        <v>46101</v>
      </c>
      <c r="B128" s="10"/>
      <c r="D128" s="11" t="s">
        <v>71</v>
      </c>
      <c r="E128" s="11" t="s">
        <v>1147</v>
      </c>
      <c r="F128" s="10"/>
      <c r="G128" s="11" t="s">
        <v>897</v>
      </c>
      <c r="H128" s="11">
        <v>7</v>
      </c>
      <c r="I128" s="11" t="s">
        <v>149</v>
      </c>
      <c r="J128" s="12">
        <v>300</v>
      </c>
      <c r="K128" s="12">
        <v>2100</v>
      </c>
      <c r="L128" s="15">
        <v>1875</v>
      </c>
      <c r="M128" s="11">
        <v>225</v>
      </c>
      <c r="N128" s="10"/>
      <c r="O128" s="12">
        <v>119.1</v>
      </c>
      <c r="P128" s="12">
        <v>833.7</v>
      </c>
      <c r="Q128" s="12">
        <v>1266.3</v>
      </c>
    </row>
    <row r="129" spans="1:17" hidden="1" x14ac:dyDescent="0.3">
      <c r="A129" s="8">
        <v>46102</v>
      </c>
      <c r="B129" s="10"/>
      <c r="D129" s="11" t="s">
        <v>71</v>
      </c>
      <c r="E129" s="11" t="s">
        <v>1148</v>
      </c>
      <c r="F129" s="10"/>
      <c r="G129" s="11" t="s">
        <v>111</v>
      </c>
      <c r="H129" s="11">
        <v>1</v>
      </c>
      <c r="I129" s="11" t="s">
        <v>74</v>
      </c>
      <c r="J129" s="12">
        <v>1249</v>
      </c>
      <c r="K129" s="12">
        <v>1249</v>
      </c>
      <c r="L129" s="15">
        <v>1115.18</v>
      </c>
      <c r="M129" s="11">
        <v>133.82</v>
      </c>
      <c r="N129" s="10"/>
      <c r="O129" s="12">
        <v>870</v>
      </c>
      <c r="P129" s="12">
        <v>870</v>
      </c>
      <c r="Q129" s="12">
        <v>379</v>
      </c>
    </row>
    <row r="130" spans="1:17" hidden="1" x14ac:dyDescent="0.3">
      <c r="A130" s="8">
        <v>46102</v>
      </c>
      <c r="B130" s="10"/>
      <c r="D130" s="11" t="s">
        <v>71</v>
      </c>
      <c r="E130" s="11" t="s">
        <v>635</v>
      </c>
      <c r="F130" s="10"/>
      <c r="G130" s="11" t="s">
        <v>907</v>
      </c>
      <c r="H130" s="11">
        <v>1</v>
      </c>
      <c r="I130" s="11" t="s">
        <v>77</v>
      </c>
      <c r="J130" s="12">
        <v>350</v>
      </c>
      <c r="K130" s="12">
        <v>350</v>
      </c>
      <c r="L130" s="11">
        <v>312.5</v>
      </c>
      <c r="M130" s="11">
        <v>37.5</v>
      </c>
      <c r="N130" s="12">
        <v>350</v>
      </c>
      <c r="O130" s="12">
        <v>178.31</v>
      </c>
      <c r="P130" s="12">
        <v>178.31</v>
      </c>
      <c r="Q130" s="12">
        <v>171.69</v>
      </c>
    </row>
    <row r="131" spans="1:17" hidden="1" x14ac:dyDescent="0.3">
      <c r="A131" s="8">
        <v>46102</v>
      </c>
      <c r="B131" s="10"/>
      <c r="D131" s="11" t="s">
        <v>71</v>
      </c>
      <c r="E131" s="11" t="s">
        <v>1149</v>
      </c>
      <c r="F131" s="10"/>
      <c r="G131" s="11" t="s">
        <v>1150</v>
      </c>
      <c r="H131" s="11">
        <v>1</v>
      </c>
      <c r="I131" s="11" t="s">
        <v>86</v>
      </c>
      <c r="J131" s="12">
        <v>150</v>
      </c>
      <c r="K131" s="12">
        <v>150</v>
      </c>
      <c r="L131" s="11">
        <v>133.93</v>
      </c>
      <c r="M131" s="11">
        <v>16.07</v>
      </c>
      <c r="N131" s="11" t="s">
        <v>922</v>
      </c>
      <c r="O131" s="12">
        <v>37.49</v>
      </c>
      <c r="P131" s="12">
        <v>37.49</v>
      </c>
      <c r="Q131" s="12">
        <v>112.51</v>
      </c>
    </row>
    <row r="132" spans="1:17" hidden="1" x14ac:dyDescent="0.3">
      <c r="A132" s="8">
        <v>46102</v>
      </c>
      <c r="B132" s="10"/>
      <c r="D132" s="11" t="s">
        <v>71</v>
      </c>
      <c r="E132" s="11" t="s">
        <v>1151</v>
      </c>
      <c r="F132" s="10"/>
      <c r="G132" s="11" t="s">
        <v>907</v>
      </c>
      <c r="H132" s="11">
        <v>2</v>
      </c>
      <c r="I132" s="11" t="s">
        <v>77</v>
      </c>
      <c r="J132" s="12">
        <v>350</v>
      </c>
      <c r="K132" s="12">
        <v>700</v>
      </c>
      <c r="L132" s="11">
        <v>625</v>
      </c>
      <c r="M132" s="11">
        <v>75</v>
      </c>
      <c r="N132" s="12">
        <v>700</v>
      </c>
      <c r="O132" s="12">
        <v>178.31</v>
      </c>
      <c r="P132" s="12">
        <v>356.62</v>
      </c>
      <c r="Q132" s="12">
        <v>343.38</v>
      </c>
    </row>
    <row r="133" spans="1:17" hidden="1" x14ac:dyDescent="0.3">
      <c r="A133" s="8">
        <v>46103</v>
      </c>
      <c r="B133" s="10"/>
      <c r="D133" s="11" t="s">
        <v>71</v>
      </c>
      <c r="E133" s="11" t="s">
        <v>1152</v>
      </c>
      <c r="F133" s="10"/>
      <c r="G133" s="11" t="s">
        <v>907</v>
      </c>
      <c r="H133" s="11">
        <v>1</v>
      </c>
      <c r="I133" s="11" t="s">
        <v>100</v>
      </c>
      <c r="J133" s="12">
        <v>6100</v>
      </c>
      <c r="K133" s="12">
        <v>6100</v>
      </c>
      <c r="L133" s="10"/>
      <c r="M133" s="10"/>
      <c r="N133" s="12">
        <v>6100</v>
      </c>
      <c r="O133" s="12">
        <v>3731.54</v>
      </c>
      <c r="P133" s="12">
        <v>3731.54</v>
      </c>
      <c r="Q133" s="12">
        <v>2368.46</v>
      </c>
    </row>
    <row r="134" spans="1:17" hidden="1" x14ac:dyDescent="0.3">
      <c r="A134" s="8">
        <v>46103</v>
      </c>
      <c r="B134" s="10"/>
      <c r="D134" s="11" t="s">
        <v>71</v>
      </c>
      <c r="E134" s="11" t="s">
        <v>1153</v>
      </c>
      <c r="F134" s="10"/>
      <c r="G134" s="11" t="s">
        <v>907</v>
      </c>
      <c r="H134" s="11">
        <v>1</v>
      </c>
      <c r="I134" s="11" t="s">
        <v>100</v>
      </c>
      <c r="J134" s="12">
        <v>6100</v>
      </c>
      <c r="K134" s="12">
        <v>6100</v>
      </c>
      <c r="L134" s="10"/>
      <c r="M134" s="10"/>
      <c r="N134" s="12">
        <v>6100</v>
      </c>
      <c r="O134" s="12">
        <v>3731.54</v>
      </c>
      <c r="P134" s="12">
        <v>3731.54</v>
      </c>
      <c r="Q134" s="12">
        <v>2368.46</v>
      </c>
    </row>
    <row r="135" spans="1:17" hidden="1" x14ac:dyDescent="0.3">
      <c r="A135" s="8">
        <v>46104</v>
      </c>
      <c r="B135" s="10"/>
      <c r="D135" s="11" t="s">
        <v>71</v>
      </c>
      <c r="E135" s="11" t="s">
        <v>1152</v>
      </c>
      <c r="F135" s="10"/>
      <c r="G135" s="11" t="s">
        <v>907</v>
      </c>
      <c r="H135" s="11">
        <v>1</v>
      </c>
      <c r="I135" s="11" t="s">
        <v>100</v>
      </c>
      <c r="J135" s="12">
        <v>6100</v>
      </c>
      <c r="K135" s="12">
        <v>6100</v>
      </c>
      <c r="L135" s="10"/>
      <c r="M135" s="10"/>
      <c r="N135" s="12">
        <v>6100</v>
      </c>
      <c r="O135" s="12">
        <v>3731.54</v>
      </c>
      <c r="P135" s="12">
        <v>3731.54</v>
      </c>
      <c r="Q135" s="12">
        <v>2368.46</v>
      </c>
    </row>
    <row r="136" spans="1:17" hidden="1" x14ac:dyDescent="0.3">
      <c r="A136" s="8">
        <v>46104</v>
      </c>
      <c r="B136" s="10"/>
      <c r="D136" s="11" t="s">
        <v>71</v>
      </c>
      <c r="E136" s="11" t="s">
        <v>1019</v>
      </c>
      <c r="F136" s="10"/>
      <c r="G136" s="11" t="s">
        <v>73</v>
      </c>
      <c r="H136" s="11">
        <v>1</v>
      </c>
      <c r="I136" s="11" t="s">
        <v>234</v>
      </c>
      <c r="J136" s="12">
        <v>690</v>
      </c>
      <c r="K136" s="12">
        <v>690</v>
      </c>
      <c r="L136" s="11">
        <v>616.07000000000005</v>
      </c>
      <c r="M136" s="11">
        <v>73.930000000000007</v>
      </c>
      <c r="N136" s="10"/>
      <c r="O136" s="12">
        <v>395.83</v>
      </c>
      <c r="P136" s="12">
        <v>395.83</v>
      </c>
      <c r="Q136" s="12">
        <v>294.17</v>
      </c>
    </row>
    <row r="137" spans="1:17" hidden="1" x14ac:dyDescent="0.3">
      <c r="A137" s="8">
        <v>46104</v>
      </c>
      <c r="B137" s="10"/>
      <c r="D137" s="11" t="s">
        <v>71</v>
      </c>
      <c r="E137" s="11" t="s">
        <v>1011</v>
      </c>
      <c r="F137" s="10"/>
      <c r="G137" s="11" t="s">
        <v>111</v>
      </c>
      <c r="H137" s="11">
        <v>1</v>
      </c>
      <c r="I137" s="11" t="s">
        <v>74</v>
      </c>
      <c r="J137" s="12">
        <v>1249</v>
      </c>
      <c r="K137" s="12">
        <v>1249</v>
      </c>
      <c r="L137" s="15">
        <v>1115.18</v>
      </c>
      <c r="M137" s="11">
        <v>133.82</v>
      </c>
      <c r="N137" s="10"/>
      <c r="O137" s="12">
        <v>870</v>
      </c>
      <c r="P137" s="12">
        <v>870</v>
      </c>
      <c r="Q137" s="12">
        <v>379</v>
      </c>
    </row>
    <row r="138" spans="1:17" hidden="1" x14ac:dyDescent="0.3">
      <c r="A138" s="8">
        <v>46105</v>
      </c>
      <c r="B138" s="10"/>
      <c r="D138" s="11" t="s">
        <v>71</v>
      </c>
      <c r="E138" s="11" t="s">
        <v>1154</v>
      </c>
      <c r="F138" s="10"/>
      <c r="G138" s="11" t="s">
        <v>907</v>
      </c>
      <c r="H138" s="11">
        <v>1</v>
      </c>
      <c r="I138" s="11" t="s">
        <v>100</v>
      </c>
      <c r="J138" s="12">
        <v>6100</v>
      </c>
      <c r="K138" s="12">
        <v>6100</v>
      </c>
      <c r="L138" s="10"/>
      <c r="M138" s="10"/>
      <c r="N138" s="12">
        <v>6100</v>
      </c>
      <c r="O138" s="12">
        <v>3731.54</v>
      </c>
      <c r="P138" s="12">
        <v>3731.54</v>
      </c>
      <c r="Q138" s="12">
        <v>2368.46</v>
      </c>
    </row>
    <row r="139" spans="1:17" hidden="1" x14ac:dyDescent="0.3">
      <c r="A139" s="8">
        <v>46105</v>
      </c>
      <c r="B139" s="10"/>
      <c r="D139" s="11" t="s">
        <v>71</v>
      </c>
      <c r="E139" s="11" t="s">
        <v>1155</v>
      </c>
      <c r="F139" s="10"/>
      <c r="G139" s="11" t="s">
        <v>907</v>
      </c>
      <c r="H139" s="11">
        <v>2</v>
      </c>
      <c r="I139" s="11" t="s">
        <v>77</v>
      </c>
      <c r="J139" s="12">
        <v>350</v>
      </c>
      <c r="K139" s="12">
        <v>700</v>
      </c>
      <c r="L139" s="11">
        <v>625</v>
      </c>
      <c r="M139" s="11">
        <v>75</v>
      </c>
      <c r="N139" s="12">
        <v>700</v>
      </c>
      <c r="O139" s="12">
        <v>178.31</v>
      </c>
      <c r="P139" s="12">
        <v>356.62</v>
      </c>
      <c r="Q139" s="12">
        <v>343.38</v>
      </c>
    </row>
    <row r="140" spans="1:17" hidden="1" x14ac:dyDescent="0.3">
      <c r="A140" s="8">
        <v>46105</v>
      </c>
      <c r="B140" s="10"/>
      <c r="D140" s="11" t="s">
        <v>71</v>
      </c>
      <c r="E140" s="11" t="s">
        <v>1156</v>
      </c>
      <c r="F140" s="10"/>
      <c r="G140" s="11" t="s">
        <v>907</v>
      </c>
      <c r="H140" s="11">
        <v>2</v>
      </c>
      <c r="I140" s="11" t="s">
        <v>77</v>
      </c>
      <c r="J140" s="12">
        <v>350</v>
      </c>
      <c r="K140" s="12">
        <v>700</v>
      </c>
      <c r="L140" s="11">
        <v>625</v>
      </c>
      <c r="M140" s="11">
        <v>75</v>
      </c>
      <c r="N140" s="12">
        <v>700</v>
      </c>
      <c r="O140" s="12">
        <v>178.31</v>
      </c>
      <c r="P140" s="12">
        <v>356.62</v>
      </c>
      <c r="Q140" s="12">
        <v>343.38</v>
      </c>
    </row>
    <row r="141" spans="1:17" hidden="1" x14ac:dyDescent="0.3">
      <c r="A141" s="8">
        <v>46105</v>
      </c>
      <c r="B141" s="10"/>
      <c r="D141" s="11" t="s">
        <v>1157</v>
      </c>
      <c r="E141" s="11" t="s">
        <v>916</v>
      </c>
      <c r="F141" s="10"/>
      <c r="G141" s="11" t="s">
        <v>219</v>
      </c>
      <c r="H141" s="11">
        <v>1</v>
      </c>
      <c r="I141" s="11" t="s">
        <v>220</v>
      </c>
      <c r="J141" s="12">
        <v>6250</v>
      </c>
      <c r="K141" s="12">
        <v>6250</v>
      </c>
      <c r="L141" s="15">
        <v>5580.36</v>
      </c>
      <c r="M141" s="11">
        <v>669.64</v>
      </c>
      <c r="N141" s="10"/>
      <c r="O141" s="12">
        <v>4140</v>
      </c>
      <c r="P141" s="12">
        <v>4140</v>
      </c>
      <c r="Q141" s="12">
        <v>2110</v>
      </c>
    </row>
    <row r="142" spans="1:17" hidden="1" x14ac:dyDescent="0.3">
      <c r="A142" s="8">
        <v>46105</v>
      </c>
      <c r="B142" s="10"/>
      <c r="D142" s="11" t="s">
        <v>1157</v>
      </c>
      <c r="E142" s="11" t="s">
        <v>916</v>
      </c>
      <c r="F142" s="10"/>
      <c r="G142" s="11" t="s">
        <v>111</v>
      </c>
      <c r="H142" s="11">
        <v>1</v>
      </c>
      <c r="I142" s="11" t="s">
        <v>74</v>
      </c>
      <c r="J142" s="12">
        <v>1249</v>
      </c>
      <c r="K142" s="12">
        <v>1249</v>
      </c>
      <c r="L142" s="15">
        <v>1115.18</v>
      </c>
      <c r="M142" s="11">
        <v>133.82</v>
      </c>
      <c r="N142" s="10"/>
      <c r="O142" s="12">
        <v>870</v>
      </c>
      <c r="P142" s="12">
        <v>870</v>
      </c>
      <c r="Q142" s="12">
        <v>379</v>
      </c>
    </row>
    <row r="143" spans="1:17" hidden="1" x14ac:dyDescent="0.3">
      <c r="A143" s="8">
        <v>46105</v>
      </c>
      <c r="B143" s="10"/>
      <c r="D143" s="11" t="s">
        <v>1157</v>
      </c>
      <c r="E143" s="11" t="s">
        <v>916</v>
      </c>
      <c r="F143" s="10"/>
      <c r="G143" s="11" t="s">
        <v>636</v>
      </c>
      <c r="H143" s="11">
        <v>2</v>
      </c>
      <c r="I143" s="11" t="s">
        <v>74</v>
      </c>
      <c r="J143" s="12">
        <v>1350</v>
      </c>
      <c r="K143" s="12">
        <v>2700</v>
      </c>
      <c r="L143" s="15">
        <v>2410.71</v>
      </c>
      <c r="M143" s="11">
        <v>289.29000000000002</v>
      </c>
      <c r="N143" s="10"/>
      <c r="O143" s="12">
        <v>990</v>
      </c>
      <c r="P143" s="12">
        <v>1980</v>
      </c>
      <c r="Q143" s="12">
        <v>720</v>
      </c>
    </row>
    <row r="144" spans="1:17" hidden="1" x14ac:dyDescent="0.3">
      <c r="A144" s="8">
        <v>46105</v>
      </c>
      <c r="B144" s="10"/>
      <c r="D144" s="11" t="s">
        <v>915</v>
      </c>
      <c r="E144" s="11" t="s">
        <v>951</v>
      </c>
      <c r="F144" s="10"/>
      <c r="G144" s="11" t="s">
        <v>907</v>
      </c>
      <c r="H144" s="11">
        <v>1</v>
      </c>
      <c r="I144" s="11" t="s">
        <v>100</v>
      </c>
      <c r="J144" s="12">
        <v>5500</v>
      </c>
      <c r="K144" s="12">
        <v>5500</v>
      </c>
      <c r="L144" s="10"/>
      <c r="M144" s="10"/>
      <c r="N144" s="12">
        <v>5500</v>
      </c>
      <c r="O144" s="12">
        <v>3731.54</v>
      </c>
      <c r="P144" s="12">
        <v>3731.54</v>
      </c>
      <c r="Q144" s="12">
        <v>1768.46</v>
      </c>
    </row>
    <row r="145" spans="1:17" hidden="1" x14ac:dyDescent="0.3">
      <c r="A145" s="8">
        <v>46106</v>
      </c>
      <c r="B145" s="11" t="s">
        <v>637</v>
      </c>
      <c r="D145" s="11" t="s">
        <v>1158</v>
      </c>
      <c r="E145" s="11" t="s">
        <v>227</v>
      </c>
      <c r="F145" s="11" t="s">
        <v>1159</v>
      </c>
      <c r="G145" s="11" t="s">
        <v>907</v>
      </c>
      <c r="H145" s="11">
        <v>1</v>
      </c>
      <c r="I145" s="11" t="s">
        <v>100</v>
      </c>
      <c r="J145" s="12">
        <v>5250</v>
      </c>
      <c r="K145" s="12">
        <v>5250</v>
      </c>
      <c r="L145" s="10"/>
      <c r="M145" s="10"/>
      <c r="N145" s="12">
        <v>5250</v>
      </c>
      <c r="O145" s="12">
        <v>3731.54</v>
      </c>
      <c r="P145" s="12">
        <v>3731.54</v>
      </c>
      <c r="Q145" s="12">
        <v>1518.46</v>
      </c>
    </row>
    <row r="146" spans="1:17" hidden="1" x14ac:dyDescent="0.3">
      <c r="A146" s="8">
        <v>46106</v>
      </c>
      <c r="B146" s="10"/>
      <c r="D146" s="10"/>
      <c r="E146" s="11" t="s">
        <v>1035</v>
      </c>
      <c r="F146" s="10"/>
      <c r="G146" s="11" t="s">
        <v>907</v>
      </c>
      <c r="H146" s="11">
        <v>3</v>
      </c>
      <c r="I146" s="11" t="s">
        <v>77</v>
      </c>
      <c r="J146" s="12">
        <v>350</v>
      </c>
      <c r="K146" s="12">
        <v>1050</v>
      </c>
      <c r="L146" s="11">
        <v>937.5</v>
      </c>
      <c r="M146" s="11">
        <v>112.5</v>
      </c>
      <c r="N146" s="12">
        <v>1050</v>
      </c>
      <c r="O146" s="12">
        <v>178.31</v>
      </c>
      <c r="P146" s="12">
        <v>534.92999999999995</v>
      </c>
      <c r="Q146" s="12">
        <v>515.07000000000005</v>
      </c>
    </row>
    <row r="147" spans="1:17" hidden="1" x14ac:dyDescent="0.3">
      <c r="A147" s="8">
        <v>46106</v>
      </c>
      <c r="B147" s="10"/>
      <c r="D147" s="11" t="s">
        <v>71</v>
      </c>
      <c r="E147" s="11" t="s">
        <v>1160</v>
      </c>
      <c r="F147" s="10"/>
      <c r="G147" s="11" t="s">
        <v>907</v>
      </c>
      <c r="H147" s="11">
        <v>1</v>
      </c>
      <c r="I147" s="11" t="s">
        <v>100</v>
      </c>
      <c r="J147" s="12">
        <v>6100</v>
      </c>
      <c r="K147" s="12">
        <v>6100</v>
      </c>
      <c r="L147" s="10"/>
      <c r="M147" s="10"/>
      <c r="N147" s="12">
        <v>6100</v>
      </c>
      <c r="O147" s="12">
        <v>3731.54</v>
      </c>
      <c r="P147" s="12">
        <v>3731.54</v>
      </c>
      <c r="Q147" s="12">
        <v>2368.46</v>
      </c>
    </row>
    <row r="148" spans="1:17" hidden="1" x14ac:dyDescent="0.3">
      <c r="A148" s="8">
        <v>46106</v>
      </c>
      <c r="B148" s="10"/>
      <c r="D148" s="11" t="s">
        <v>71</v>
      </c>
      <c r="E148" s="11" t="s">
        <v>1099</v>
      </c>
      <c r="F148" s="10"/>
      <c r="G148" s="11" t="s">
        <v>907</v>
      </c>
      <c r="H148" s="11">
        <v>1</v>
      </c>
      <c r="I148" s="11" t="s">
        <v>77</v>
      </c>
      <c r="J148" s="12">
        <v>350</v>
      </c>
      <c r="K148" s="12">
        <v>350</v>
      </c>
      <c r="L148" s="11">
        <v>312.5</v>
      </c>
      <c r="M148" s="11">
        <v>37.5</v>
      </c>
      <c r="N148" s="12">
        <v>350</v>
      </c>
      <c r="O148" s="12">
        <v>178.31</v>
      </c>
      <c r="P148" s="12">
        <v>178.31</v>
      </c>
      <c r="Q148" s="12">
        <v>171.69</v>
      </c>
    </row>
    <row r="149" spans="1:17" hidden="1" x14ac:dyDescent="0.3">
      <c r="A149" s="8">
        <v>46107</v>
      </c>
      <c r="B149" s="10"/>
      <c r="D149" s="11" t="s">
        <v>638</v>
      </c>
      <c r="E149" s="11" t="s">
        <v>1161</v>
      </c>
      <c r="F149" s="10"/>
      <c r="G149" s="11" t="s">
        <v>907</v>
      </c>
      <c r="H149" s="11">
        <v>1</v>
      </c>
      <c r="I149" s="11" t="s">
        <v>100</v>
      </c>
      <c r="J149" s="12">
        <v>5500</v>
      </c>
      <c r="K149" s="12">
        <v>5500</v>
      </c>
      <c r="L149" s="10"/>
      <c r="M149" s="10"/>
      <c r="N149" s="12">
        <v>5500</v>
      </c>
      <c r="O149" s="12">
        <v>3731.54</v>
      </c>
      <c r="P149" s="12">
        <v>3731.54</v>
      </c>
      <c r="Q149" s="12">
        <v>1768.46</v>
      </c>
    </row>
    <row r="150" spans="1:17" hidden="1" x14ac:dyDescent="0.3">
      <c r="A150" s="8">
        <v>46107</v>
      </c>
      <c r="B150" s="10"/>
      <c r="D150" s="11" t="s">
        <v>89</v>
      </c>
      <c r="E150" s="11" t="s">
        <v>952</v>
      </c>
      <c r="F150" s="10"/>
      <c r="G150" s="11" t="s">
        <v>907</v>
      </c>
      <c r="H150" s="11">
        <v>96</v>
      </c>
      <c r="I150" s="11" t="s">
        <v>77</v>
      </c>
      <c r="J150" s="12">
        <v>230</v>
      </c>
      <c r="K150" s="12">
        <v>22080</v>
      </c>
      <c r="L150" s="10"/>
      <c r="M150" s="10"/>
      <c r="N150" s="12">
        <v>22080</v>
      </c>
      <c r="O150" s="12">
        <v>174.48</v>
      </c>
      <c r="P150" s="12">
        <v>16750.080000000002</v>
      </c>
      <c r="Q150" s="12">
        <v>5329.92</v>
      </c>
    </row>
    <row r="151" spans="1:17" hidden="1" x14ac:dyDescent="0.3">
      <c r="A151" s="8">
        <v>46107</v>
      </c>
      <c r="B151" s="10"/>
      <c r="D151" s="11" t="s">
        <v>71</v>
      </c>
      <c r="E151" s="11" t="s">
        <v>1162</v>
      </c>
      <c r="F151" s="10"/>
      <c r="G151" s="11" t="s">
        <v>907</v>
      </c>
      <c r="H151" s="11">
        <v>1</v>
      </c>
      <c r="I151" s="11" t="s">
        <v>77</v>
      </c>
      <c r="J151" s="12">
        <v>350</v>
      </c>
      <c r="K151" s="12">
        <v>350</v>
      </c>
      <c r="L151" s="11">
        <v>312.5</v>
      </c>
      <c r="M151" s="11">
        <v>37.5</v>
      </c>
      <c r="N151" s="12">
        <v>350</v>
      </c>
      <c r="O151" s="12">
        <v>178.31</v>
      </c>
      <c r="P151" s="12">
        <v>178.31</v>
      </c>
      <c r="Q151" s="12">
        <v>171.69</v>
      </c>
    </row>
    <row r="152" spans="1:17" hidden="1" x14ac:dyDescent="0.3">
      <c r="A152" s="8">
        <v>46107</v>
      </c>
      <c r="B152" s="10"/>
      <c r="D152" s="11" t="s">
        <v>71</v>
      </c>
      <c r="E152" s="11" t="s">
        <v>1163</v>
      </c>
      <c r="F152" s="10"/>
      <c r="G152" s="11" t="s">
        <v>907</v>
      </c>
      <c r="H152" s="11">
        <v>1</v>
      </c>
      <c r="I152" s="11" t="s">
        <v>100</v>
      </c>
      <c r="J152" s="12">
        <v>6100</v>
      </c>
      <c r="K152" s="12">
        <v>6100</v>
      </c>
      <c r="L152" s="10"/>
      <c r="M152" s="10"/>
      <c r="N152" s="12">
        <v>6100</v>
      </c>
      <c r="O152" s="12">
        <v>3731.54</v>
      </c>
      <c r="P152" s="12">
        <v>3731.54</v>
      </c>
      <c r="Q152" s="12">
        <v>2368.46</v>
      </c>
    </row>
    <row r="153" spans="1:17" hidden="1" x14ac:dyDescent="0.3">
      <c r="A153" s="8">
        <v>46107</v>
      </c>
      <c r="B153" s="10"/>
      <c r="D153" s="11" t="s">
        <v>71</v>
      </c>
      <c r="E153" s="11" t="s">
        <v>1164</v>
      </c>
      <c r="F153" s="10"/>
      <c r="G153" s="11" t="s">
        <v>907</v>
      </c>
      <c r="H153" s="11">
        <v>1</v>
      </c>
      <c r="I153" s="11" t="s">
        <v>100</v>
      </c>
      <c r="J153" s="12">
        <v>6100</v>
      </c>
      <c r="K153" s="12">
        <v>6100</v>
      </c>
      <c r="L153" s="10"/>
      <c r="M153" s="10"/>
      <c r="N153" s="12">
        <v>6100</v>
      </c>
      <c r="O153" s="12">
        <v>3731.54</v>
      </c>
      <c r="P153" s="12">
        <v>3731.54</v>
      </c>
      <c r="Q153" s="12">
        <v>2368.46</v>
      </c>
    </row>
    <row r="154" spans="1:17" hidden="1" x14ac:dyDescent="0.3">
      <c r="A154" s="8">
        <v>46108</v>
      </c>
      <c r="B154" s="10"/>
      <c r="D154" s="11" t="s">
        <v>71</v>
      </c>
      <c r="E154" s="11" t="s">
        <v>1017</v>
      </c>
      <c r="F154" s="10"/>
      <c r="G154" s="11" t="s">
        <v>907</v>
      </c>
      <c r="H154" s="11">
        <v>1</v>
      </c>
      <c r="I154" s="11" t="s">
        <v>100</v>
      </c>
      <c r="J154" s="12">
        <v>6100</v>
      </c>
      <c r="K154" s="12">
        <v>6100</v>
      </c>
      <c r="L154" s="10"/>
      <c r="M154" s="10"/>
      <c r="N154" s="12">
        <v>6100</v>
      </c>
      <c r="O154" s="12">
        <v>3731.54</v>
      </c>
      <c r="P154" s="12">
        <v>3731.54</v>
      </c>
      <c r="Q154" s="12">
        <v>2368.46</v>
      </c>
    </row>
    <row r="155" spans="1:17" hidden="1" x14ac:dyDescent="0.3">
      <c r="A155" s="8">
        <v>46108</v>
      </c>
      <c r="B155" s="10"/>
      <c r="D155" s="11" t="s">
        <v>89</v>
      </c>
      <c r="E155" s="11" t="s">
        <v>1165</v>
      </c>
      <c r="F155" s="10"/>
      <c r="G155" s="11" t="s">
        <v>219</v>
      </c>
      <c r="H155" s="11">
        <v>5</v>
      </c>
      <c r="I155" s="11" t="s">
        <v>627</v>
      </c>
      <c r="J155" s="12">
        <v>350</v>
      </c>
      <c r="K155" s="12">
        <v>1750</v>
      </c>
      <c r="L155" s="15">
        <v>1562.5</v>
      </c>
      <c r="M155" s="11">
        <v>187.5</v>
      </c>
      <c r="N155" s="10"/>
      <c r="O155" s="12">
        <v>172.5</v>
      </c>
      <c r="P155" s="12">
        <v>862.5</v>
      </c>
      <c r="Q155" s="12">
        <v>887.5</v>
      </c>
    </row>
    <row r="156" spans="1:17" hidden="1" x14ac:dyDescent="0.3">
      <c r="A156" s="8">
        <v>46108</v>
      </c>
      <c r="B156" s="10"/>
      <c r="D156" s="11" t="s">
        <v>915</v>
      </c>
      <c r="E156" s="11" t="s">
        <v>639</v>
      </c>
      <c r="F156" s="10"/>
      <c r="G156" s="11" t="s">
        <v>907</v>
      </c>
      <c r="H156" s="11">
        <v>3</v>
      </c>
      <c r="I156" s="11" t="s">
        <v>77</v>
      </c>
      <c r="J156" s="12">
        <v>350</v>
      </c>
      <c r="K156" s="12">
        <v>1050</v>
      </c>
      <c r="L156" s="10"/>
      <c r="M156" s="10"/>
      <c r="N156" s="12">
        <v>1050</v>
      </c>
      <c r="O156" s="12">
        <v>174.48</v>
      </c>
      <c r="P156" s="12">
        <v>523.44000000000005</v>
      </c>
      <c r="Q156" s="12">
        <v>526.55999999999995</v>
      </c>
    </row>
    <row r="157" spans="1:17" hidden="1" x14ac:dyDescent="0.3">
      <c r="A157" s="8">
        <v>46108</v>
      </c>
      <c r="B157" s="10"/>
      <c r="D157" s="11" t="s">
        <v>71</v>
      </c>
      <c r="E157" s="11" t="s">
        <v>998</v>
      </c>
      <c r="F157" s="10"/>
      <c r="G157" s="11" t="s">
        <v>907</v>
      </c>
      <c r="H157" s="11">
        <v>2</v>
      </c>
      <c r="I157" s="11" t="s">
        <v>77</v>
      </c>
      <c r="J157" s="12">
        <v>350</v>
      </c>
      <c r="K157" s="12">
        <v>700</v>
      </c>
      <c r="L157" s="11">
        <v>625</v>
      </c>
      <c r="M157" s="11">
        <v>75</v>
      </c>
      <c r="N157" s="12">
        <v>700</v>
      </c>
      <c r="O157" s="12">
        <v>174.48</v>
      </c>
      <c r="P157" s="12">
        <v>348.96</v>
      </c>
      <c r="Q157" s="12">
        <v>351.04</v>
      </c>
    </row>
    <row r="158" spans="1:17" hidden="1" x14ac:dyDescent="0.3">
      <c r="A158" s="8">
        <v>46108</v>
      </c>
      <c r="B158" s="10"/>
      <c r="D158" s="11" t="s">
        <v>71</v>
      </c>
      <c r="E158" s="11" t="s">
        <v>1166</v>
      </c>
      <c r="F158" s="10"/>
      <c r="G158" s="11" t="s">
        <v>73</v>
      </c>
      <c r="H158" s="11">
        <v>2</v>
      </c>
      <c r="I158" s="11" t="s">
        <v>74</v>
      </c>
      <c r="J158" s="12">
        <v>690</v>
      </c>
      <c r="K158" s="12">
        <v>1380</v>
      </c>
      <c r="L158" s="15">
        <v>1232.1400000000001</v>
      </c>
      <c r="M158" s="11">
        <v>147.86000000000001</v>
      </c>
      <c r="N158" s="10"/>
      <c r="O158" s="12">
        <v>395.83</v>
      </c>
      <c r="P158" s="12">
        <v>791.66</v>
      </c>
      <c r="Q158" s="12">
        <v>588.34</v>
      </c>
    </row>
    <row r="159" spans="1:17" hidden="1" x14ac:dyDescent="0.3">
      <c r="A159" s="8">
        <v>46109</v>
      </c>
      <c r="B159" s="10"/>
      <c r="D159" s="11" t="s">
        <v>71</v>
      </c>
      <c r="E159" s="11" t="s">
        <v>1167</v>
      </c>
      <c r="F159" s="10"/>
      <c r="G159" s="11" t="s">
        <v>897</v>
      </c>
      <c r="H159" s="11">
        <v>3</v>
      </c>
      <c r="I159" s="11" t="s">
        <v>149</v>
      </c>
      <c r="J159" s="12">
        <v>300</v>
      </c>
      <c r="K159" s="12">
        <v>900</v>
      </c>
      <c r="L159" s="11">
        <v>803.57</v>
      </c>
      <c r="M159" s="11">
        <v>96.43</v>
      </c>
      <c r="N159" s="10"/>
      <c r="O159" s="12">
        <v>119.01</v>
      </c>
      <c r="P159" s="12">
        <v>357.03</v>
      </c>
      <c r="Q159" s="12">
        <v>542.97</v>
      </c>
    </row>
    <row r="160" spans="1:17" hidden="1" x14ac:dyDescent="0.3">
      <c r="A160" s="8">
        <v>46109</v>
      </c>
      <c r="B160" s="10"/>
      <c r="D160" s="11" t="s">
        <v>915</v>
      </c>
      <c r="E160" s="11" t="s">
        <v>1022</v>
      </c>
      <c r="F160" s="10"/>
      <c r="G160" s="11" t="s">
        <v>907</v>
      </c>
      <c r="H160" s="11">
        <v>2</v>
      </c>
      <c r="I160" s="11" t="s">
        <v>91</v>
      </c>
      <c r="J160" s="12">
        <v>5500</v>
      </c>
      <c r="K160" s="12">
        <v>11000</v>
      </c>
      <c r="L160" s="10"/>
      <c r="M160" s="10"/>
      <c r="N160" s="12">
        <v>11000</v>
      </c>
      <c r="O160" s="12">
        <v>3731.54</v>
      </c>
      <c r="P160" s="12">
        <v>3731.54</v>
      </c>
      <c r="Q160" s="12">
        <v>7268.46</v>
      </c>
    </row>
    <row r="161" spans="1:17" hidden="1" x14ac:dyDescent="0.3">
      <c r="A161" s="8">
        <v>46109</v>
      </c>
      <c r="B161" s="10"/>
      <c r="D161" s="11" t="s">
        <v>1168</v>
      </c>
      <c r="E161" s="11" t="s">
        <v>1169</v>
      </c>
      <c r="F161" s="10"/>
      <c r="G161" s="11" t="s">
        <v>907</v>
      </c>
      <c r="H161" s="11">
        <v>1</v>
      </c>
      <c r="I161" s="11" t="s">
        <v>77</v>
      </c>
      <c r="J161" s="12">
        <v>350</v>
      </c>
      <c r="K161" s="12">
        <v>350</v>
      </c>
      <c r="L161" s="11">
        <v>312.5</v>
      </c>
      <c r="M161" s="11">
        <v>37.5</v>
      </c>
      <c r="N161" s="12">
        <v>350</v>
      </c>
      <c r="O161" s="12">
        <v>174.48</v>
      </c>
      <c r="P161" s="12">
        <v>174.48</v>
      </c>
      <c r="Q161" s="12">
        <v>175.52</v>
      </c>
    </row>
    <row r="162" spans="1:17" hidden="1" x14ac:dyDescent="0.3">
      <c r="A162" s="8">
        <v>46109</v>
      </c>
      <c r="B162" s="10"/>
      <c r="D162" s="11" t="s">
        <v>1168</v>
      </c>
      <c r="E162" s="11" t="s">
        <v>996</v>
      </c>
      <c r="F162" s="10"/>
      <c r="G162" s="11" t="s">
        <v>907</v>
      </c>
      <c r="H162" s="11">
        <v>5</v>
      </c>
      <c r="I162" s="11" t="s">
        <v>91</v>
      </c>
      <c r="J162" s="12">
        <v>5500</v>
      </c>
      <c r="K162" s="12">
        <v>27500</v>
      </c>
      <c r="L162" s="10"/>
      <c r="M162" s="10"/>
      <c r="N162" s="12">
        <v>27500</v>
      </c>
      <c r="O162" s="12">
        <v>3731.54</v>
      </c>
      <c r="P162" s="12">
        <v>18657.7</v>
      </c>
      <c r="Q162" s="12">
        <v>8842.2999999999993</v>
      </c>
    </row>
    <row r="163" spans="1:17" x14ac:dyDescent="0.3">
      <c r="A163" s="8">
        <v>46109</v>
      </c>
      <c r="B163" s="10"/>
      <c r="D163" s="11" t="s">
        <v>1168</v>
      </c>
      <c r="E163" s="11" t="s">
        <v>996</v>
      </c>
      <c r="F163" s="10"/>
      <c r="G163" s="11" t="s">
        <v>933</v>
      </c>
      <c r="H163" s="11">
        <v>1</v>
      </c>
      <c r="I163" s="11" t="s">
        <v>183</v>
      </c>
      <c r="J163" s="12">
        <v>2400</v>
      </c>
      <c r="K163" s="12">
        <v>2400</v>
      </c>
      <c r="L163" s="10"/>
      <c r="M163" s="10"/>
      <c r="N163" s="12">
        <v>2400</v>
      </c>
      <c r="O163" s="20">
        <v>2246</v>
      </c>
      <c r="P163" s="11">
        <v>2246</v>
      </c>
      <c r="Q163" s="11">
        <v>154</v>
      </c>
    </row>
    <row r="164" spans="1:17" hidden="1" x14ac:dyDescent="0.3">
      <c r="A164" s="8">
        <v>46109</v>
      </c>
      <c r="B164" s="10"/>
      <c r="D164" s="11" t="s">
        <v>71</v>
      </c>
      <c r="E164" s="11" t="s">
        <v>1170</v>
      </c>
      <c r="F164" s="10"/>
      <c r="G164" s="11" t="s">
        <v>542</v>
      </c>
      <c r="H164" s="11">
        <v>1</v>
      </c>
      <c r="I164" s="11" t="s">
        <v>188</v>
      </c>
      <c r="J164" s="12">
        <v>2240</v>
      </c>
      <c r="K164" s="12">
        <v>2240</v>
      </c>
      <c r="L164" s="15">
        <v>2238.8000000000002</v>
      </c>
      <c r="M164" s="11">
        <v>268.66000000000003</v>
      </c>
      <c r="N164" s="10"/>
      <c r="O164" s="12">
        <v>1359.99</v>
      </c>
      <c r="P164" s="12">
        <v>1359.99</v>
      </c>
      <c r="Q164" s="12">
        <v>880.01</v>
      </c>
    </row>
    <row r="165" spans="1:17" hidden="1" x14ac:dyDescent="0.3">
      <c r="A165" s="8">
        <v>46110</v>
      </c>
      <c r="B165" s="10"/>
      <c r="D165" s="11" t="s">
        <v>71</v>
      </c>
      <c r="E165" s="11" t="s">
        <v>1141</v>
      </c>
      <c r="F165" s="10"/>
      <c r="G165" s="11" t="s">
        <v>907</v>
      </c>
      <c r="H165" s="11">
        <v>1</v>
      </c>
      <c r="I165" s="11" t="s">
        <v>100</v>
      </c>
      <c r="J165" s="12">
        <v>6100</v>
      </c>
      <c r="K165" s="12">
        <v>6100</v>
      </c>
      <c r="L165" s="10"/>
      <c r="M165" s="10"/>
      <c r="N165" s="12">
        <v>6100</v>
      </c>
      <c r="O165" s="12">
        <v>3731.54</v>
      </c>
      <c r="P165" s="12">
        <v>3731.54</v>
      </c>
      <c r="Q165" s="12">
        <v>2368.46</v>
      </c>
    </row>
    <row r="166" spans="1:17" hidden="1" x14ac:dyDescent="0.3">
      <c r="A166" s="8">
        <v>46110</v>
      </c>
      <c r="B166" s="10"/>
      <c r="D166" s="11" t="s">
        <v>71</v>
      </c>
      <c r="E166" s="11" t="s">
        <v>1171</v>
      </c>
      <c r="F166" s="10"/>
      <c r="G166" s="11" t="s">
        <v>73</v>
      </c>
      <c r="H166" s="11">
        <v>2</v>
      </c>
      <c r="I166" s="11" t="s">
        <v>234</v>
      </c>
      <c r="J166" s="12">
        <v>690</v>
      </c>
      <c r="K166" s="12">
        <v>1380</v>
      </c>
      <c r="L166" s="15">
        <v>1232.1400000000001</v>
      </c>
      <c r="M166" s="11">
        <v>147.86000000000001</v>
      </c>
      <c r="N166" s="10"/>
      <c r="O166" s="12">
        <v>395.83</v>
      </c>
      <c r="P166" s="12">
        <v>791.66</v>
      </c>
      <c r="Q166" s="12">
        <v>588.34</v>
      </c>
    </row>
    <row r="167" spans="1:17" hidden="1" x14ac:dyDescent="0.3">
      <c r="A167" s="8">
        <v>46110</v>
      </c>
      <c r="B167" s="10"/>
      <c r="D167" s="11" t="s">
        <v>71</v>
      </c>
      <c r="E167" s="11" t="s">
        <v>1024</v>
      </c>
      <c r="F167" s="10"/>
      <c r="G167" s="11" t="s">
        <v>625</v>
      </c>
      <c r="H167" s="11">
        <v>1</v>
      </c>
      <c r="I167" s="11" t="s">
        <v>626</v>
      </c>
      <c r="J167" s="12">
        <v>3224</v>
      </c>
      <c r="K167" s="12">
        <v>3224</v>
      </c>
      <c r="L167" s="15">
        <v>2878.57</v>
      </c>
      <c r="M167" s="11">
        <v>690.86</v>
      </c>
      <c r="N167" s="10"/>
      <c r="O167" s="12">
        <v>2110</v>
      </c>
      <c r="P167" s="12">
        <v>2110</v>
      </c>
      <c r="Q167" s="12">
        <v>1114</v>
      </c>
    </row>
    <row r="168" spans="1:17" hidden="1" x14ac:dyDescent="0.3">
      <c r="A168" s="8">
        <v>46111</v>
      </c>
      <c r="B168" s="10"/>
      <c r="D168" s="11" t="s">
        <v>71</v>
      </c>
      <c r="E168" s="11" t="s">
        <v>1172</v>
      </c>
      <c r="F168" s="10"/>
      <c r="G168" s="11" t="s">
        <v>73</v>
      </c>
      <c r="H168" s="11">
        <v>3</v>
      </c>
      <c r="I168" s="11" t="s">
        <v>234</v>
      </c>
      <c r="J168" s="12">
        <v>690</v>
      </c>
      <c r="K168" s="12">
        <v>2070</v>
      </c>
      <c r="L168" s="15">
        <v>1848.21</v>
      </c>
      <c r="M168" s="11">
        <v>221.79</v>
      </c>
      <c r="N168" s="10"/>
      <c r="O168" s="12">
        <v>395.83</v>
      </c>
      <c r="P168" s="12">
        <v>1187.49</v>
      </c>
      <c r="Q168" s="12">
        <v>882.51</v>
      </c>
    </row>
    <row r="169" spans="1:17" hidden="1" x14ac:dyDescent="0.3">
      <c r="A169" s="8">
        <v>46111</v>
      </c>
      <c r="B169" s="10"/>
      <c r="D169" s="11" t="s">
        <v>71</v>
      </c>
      <c r="E169" s="11" t="s">
        <v>1173</v>
      </c>
      <c r="F169" s="10"/>
      <c r="G169" s="11" t="s">
        <v>907</v>
      </c>
      <c r="H169" s="11">
        <v>1</v>
      </c>
      <c r="I169" s="11" t="s">
        <v>77</v>
      </c>
      <c r="J169" s="12">
        <v>350</v>
      </c>
      <c r="K169" s="12">
        <v>350</v>
      </c>
      <c r="L169" s="11">
        <v>312.5</v>
      </c>
      <c r="M169" s="11">
        <v>37.5</v>
      </c>
      <c r="N169" s="12">
        <v>350</v>
      </c>
      <c r="O169" s="12">
        <v>174.48</v>
      </c>
      <c r="P169" s="12">
        <v>174.48</v>
      </c>
      <c r="Q169" s="12">
        <v>175.52</v>
      </c>
    </row>
    <row r="170" spans="1:17" hidden="1" x14ac:dyDescent="0.3">
      <c r="A170" s="8">
        <v>46111</v>
      </c>
      <c r="B170" s="10"/>
      <c r="D170" s="11" t="s">
        <v>1174</v>
      </c>
      <c r="E170" s="11" t="s">
        <v>990</v>
      </c>
      <c r="F170" s="10"/>
      <c r="G170" s="11" t="s">
        <v>907</v>
      </c>
      <c r="H170" s="11">
        <v>32</v>
      </c>
      <c r="I170" s="11" t="s">
        <v>77</v>
      </c>
      <c r="J170" s="12">
        <v>234.38</v>
      </c>
      <c r="K170" s="12">
        <v>7500</v>
      </c>
      <c r="L170" s="15">
        <v>6696.43</v>
      </c>
      <c r="M170" s="11">
        <v>803.57</v>
      </c>
      <c r="N170" s="12">
        <v>7500</v>
      </c>
      <c r="O170" s="12">
        <v>174.48</v>
      </c>
      <c r="P170" s="12">
        <v>5583.36</v>
      </c>
      <c r="Q170" s="12">
        <v>1916.64</v>
      </c>
    </row>
    <row r="171" spans="1:17" hidden="1" x14ac:dyDescent="0.3">
      <c r="A171" s="8">
        <v>46112</v>
      </c>
      <c r="B171" s="10"/>
      <c r="D171" s="11" t="s">
        <v>1175</v>
      </c>
      <c r="E171" s="11" t="s">
        <v>1176</v>
      </c>
      <c r="F171" s="10"/>
      <c r="G171" s="11" t="s">
        <v>907</v>
      </c>
      <c r="H171" s="11">
        <v>5</v>
      </c>
      <c r="I171" s="11" t="s">
        <v>100</v>
      </c>
      <c r="J171" s="12">
        <v>5500</v>
      </c>
      <c r="K171" s="12">
        <v>27500</v>
      </c>
      <c r="L171" s="10"/>
      <c r="M171" s="10"/>
      <c r="N171" s="12">
        <v>27500</v>
      </c>
      <c r="O171" s="12">
        <v>3731.54</v>
      </c>
      <c r="P171" s="12">
        <v>18657.7</v>
      </c>
      <c r="Q171" s="12">
        <v>8842.2999999999993</v>
      </c>
    </row>
    <row r="172" spans="1:17" hidden="1" x14ac:dyDescent="0.3">
      <c r="A172" s="8">
        <v>46112</v>
      </c>
      <c r="B172" s="10"/>
      <c r="D172" s="11" t="s">
        <v>1177</v>
      </c>
      <c r="E172" s="11" t="s">
        <v>1075</v>
      </c>
      <c r="F172" s="10"/>
      <c r="G172" s="11" t="s">
        <v>907</v>
      </c>
      <c r="H172" s="11">
        <v>50</v>
      </c>
      <c r="I172" s="11" t="s">
        <v>91</v>
      </c>
      <c r="J172" s="12">
        <v>4750</v>
      </c>
      <c r="K172" s="12">
        <v>237500</v>
      </c>
      <c r="L172" s="10"/>
      <c r="M172" s="10"/>
      <c r="N172" s="12">
        <v>237500</v>
      </c>
      <c r="O172" s="12">
        <v>3731.54</v>
      </c>
      <c r="P172" s="12">
        <v>186577</v>
      </c>
      <c r="Q172" s="12">
        <v>50923</v>
      </c>
    </row>
    <row r="173" spans="1:17" hidden="1" x14ac:dyDescent="0.3">
      <c r="A173" s="8">
        <v>46112</v>
      </c>
      <c r="B173" s="10"/>
      <c r="D173" s="11" t="s">
        <v>71</v>
      </c>
      <c r="E173" s="11" t="s">
        <v>1107</v>
      </c>
      <c r="F173" s="10"/>
      <c r="G173" s="11" t="s">
        <v>907</v>
      </c>
      <c r="H173" s="11">
        <v>1</v>
      </c>
      <c r="I173" s="11" t="s">
        <v>77</v>
      </c>
      <c r="J173" s="12">
        <v>350</v>
      </c>
      <c r="K173" s="12">
        <v>350</v>
      </c>
      <c r="L173" s="11">
        <v>312.5</v>
      </c>
      <c r="M173" s="11">
        <v>37.5</v>
      </c>
      <c r="N173" s="12">
        <v>350</v>
      </c>
      <c r="O173" s="12">
        <v>174.48</v>
      </c>
      <c r="P173" s="12">
        <v>174.48</v>
      </c>
      <c r="Q173" s="12">
        <v>175.52</v>
      </c>
    </row>
    <row r="174" spans="1:17" hidden="1" x14ac:dyDescent="0.3">
      <c r="A174" s="8">
        <v>46112</v>
      </c>
      <c r="B174" s="10"/>
      <c r="D174" s="11" t="s">
        <v>71</v>
      </c>
      <c r="E174" s="11" t="s">
        <v>1178</v>
      </c>
      <c r="F174" s="10"/>
      <c r="G174" s="11" t="s">
        <v>907</v>
      </c>
      <c r="H174" s="11">
        <v>1</v>
      </c>
      <c r="I174" s="11" t="s">
        <v>77</v>
      </c>
      <c r="J174" s="12">
        <v>350</v>
      </c>
      <c r="K174" s="12">
        <v>350</v>
      </c>
      <c r="L174" s="11">
        <v>312.5</v>
      </c>
      <c r="M174" s="11">
        <v>37.5</v>
      </c>
      <c r="N174" s="12">
        <v>350</v>
      </c>
      <c r="O174" s="12">
        <v>174.48</v>
      </c>
      <c r="P174" s="12">
        <v>174.48</v>
      </c>
      <c r="Q174" s="12">
        <v>175.52</v>
      </c>
    </row>
    <row r="175" spans="1:17" hidden="1" x14ac:dyDescent="0.3">
      <c r="A175" s="8">
        <v>46112</v>
      </c>
      <c r="B175" s="10"/>
      <c r="D175" s="11" t="s">
        <v>71</v>
      </c>
      <c r="E175" s="11" t="s">
        <v>1179</v>
      </c>
      <c r="F175" s="10"/>
      <c r="G175" s="11" t="s">
        <v>907</v>
      </c>
      <c r="H175" s="11">
        <v>1</v>
      </c>
      <c r="I175" s="11" t="s">
        <v>77</v>
      </c>
      <c r="J175" s="12">
        <v>350</v>
      </c>
      <c r="K175" s="12">
        <v>350</v>
      </c>
      <c r="L175" s="11">
        <v>312.5</v>
      </c>
      <c r="M175" s="11">
        <v>37.5</v>
      </c>
      <c r="N175" s="12">
        <v>350</v>
      </c>
      <c r="O175" s="12">
        <v>174.48</v>
      </c>
      <c r="P175" s="12">
        <v>174.48</v>
      </c>
      <c r="Q175" s="12">
        <v>175.52</v>
      </c>
    </row>
    <row r="176" spans="1:17" hidden="1" x14ac:dyDescent="0.3">
      <c r="A176" s="8">
        <v>46112</v>
      </c>
      <c r="B176" s="10"/>
      <c r="D176" s="11" t="s">
        <v>71</v>
      </c>
      <c r="E176" s="11" t="s">
        <v>1180</v>
      </c>
      <c r="F176" s="10"/>
      <c r="G176" s="11" t="s">
        <v>907</v>
      </c>
      <c r="H176" s="11">
        <v>1</v>
      </c>
      <c r="I176" s="11" t="s">
        <v>77</v>
      </c>
      <c r="J176" s="12">
        <v>350</v>
      </c>
      <c r="K176" s="12">
        <v>350</v>
      </c>
      <c r="L176" s="11">
        <v>312.5</v>
      </c>
      <c r="M176" s="11">
        <v>37.5</v>
      </c>
      <c r="N176" s="12">
        <v>350</v>
      </c>
      <c r="O176" s="12">
        <v>174.48</v>
      </c>
      <c r="P176" s="12">
        <v>174.48</v>
      </c>
      <c r="Q176" s="12">
        <v>175.52</v>
      </c>
    </row>
    <row r="177" spans="12:16" hidden="1" x14ac:dyDescent="0.3"/>
    <row r="178" spans="12:16" hidden="1" x14ac:dyDescent="0.3">
      <c r="L178">
        <f>SUM(L2:L176)</f>
        <v>156624.39428571428</v>
      </c>
      <c r="N178">
        <f>SUM(N2:N176)</f>
        <v>1918158.05</v>
      </c>
      <c r="P178" s="55">
        <f>SUM(P2:P176)</f>
        <v>1475611.120000002</v>
      </c>
    </row>
  </sheetData>
  <autoFilter ref="G1:G178" xr:uid="{60ED403F-78CB-6D47-BB80-6E9874AF083C}">
    <filterColumn colId="0">
      <filters>
        <filter val="SHIPPINGFEE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A079A-99A1-6646-8B96-5038ACA25398}">
  <sheetPr filterMode="1"/>
  <dimension ref="A1:X188"/>
  <sheetViews>
    <sheetView tabSelected="1" topLeftCell="B1" workbookViewId="0">
      <selection activeCell="K176" sqref="K176"/>
    </sheetView>
  </sheetViews>
  <sheetFormatPr defaultColWidth="11.5546875" defaultRowHeight="14.4" x14ac:dyDescent="0.3"/>
  <cols>
    <col min="16" max="16" width="13.109375" customWidth="1"/>
  </cols>
  <sheetData>
    <row r="1" spans="1:24" x14ac:dyDescent="0.3">
      <c r="A1" t="s">
        <v>26</v>
      </c>
      <c r="B1" t="s">
        <v>885</v>
      </c>
      <c r="C1" t="s">
        <v>886</v>
      </c>
      <c r="D1" t="s">
        <v>887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s="24" t="s">
        <v>888</v>
      </c>
      <c r="K1" t="s">
        <v>889</v>
      </c>
      <c r="L1" t="s">
        <v>890</v>
      </c>
      <c r="M1" t="s">
        <v>891</v>
      </c>
      <c r="N1" t="s">
        <v>892</v>
      </c>
      <c r="O1" t="s">
        <v>40</v>
      </c>
      <c r="P1" t="s">
        <v>893</v>
      </c>
      <c r="Q1" t="s">
        <v>42</v>
      </c>
      <c r="R1" t="s">
        <v>43</v>
      </c>
      <c r="S1" t="s">
        <v>44</v>
      </c>
      <c r="T1" t="s">
        <v>894</v>
      </c>
      <c r="U1" t="s">
        <v>895</v>
      </c>
      <c r="V1" t="s">
        <v>47</v>
      </c>
      <c r="W1" t="s">
        <v>48</v>
      </c>
      <c r="X1" t="s">
        <v>49</v>
      </c>
    </row>
    <row r="2" spans="1:24" hidden="1" x14ac:dyDescent="0.3">
      <c r="A2" s="8">
        <v>46054</v>
      </c>
      <c r="D2" s="11" t="s">
        <v>71</v>
      </c>
      <c r="E2" s="11" t="s">
        <v>896</v>
      </c>
      <c r="G2" s="11" t="s">
        <v>897</v>
      </c>
      <c r="H2" s="11">
        <v>10</v>
      </c>
      <c r="I2" s="11" t="s">
        <v>365</v>
      </c>
      <c r="J2" s="12">
        <v>300</v>
      </c>
      <c r="K2" s="12">
        <v>3000</v>
      </c>
      <c r="L2" s="15">
        <v>2998.8</v>
      </c>
      <c r="M2" s="11">
        <v>359.86</v>
      </c>
      <c r="N2" s="10"/>
      <c r="O2" s="12">
        <v>119.01</v>
      </c>
      <c r="P2" s="12">
        <v>1190.0999999999999</v>
      </c>
      <c r="Q2" s="12">
        <v>1809.9</v>
      </c>
    </row>
    <row r="3" spans="1:24" hidden="1" x14ac:dyDescent="0.3">
      <c r="A3" s="8">
        <v>46054</v>
      </c>
      <c r="D3" s="11" t="s">
        <v>71</v>
      </c>
      <c r="E3" s="11" t="s">
        <v>898</v>
      </c>
      <c r="G3" s="11" t="s">
        <v>899</v>
      </c>
      <c r="H3" s="11">
        <v>1</v>
      </c>
      <c r="I3" s="11" t="s">
        <v>86</v>
      </c>
      <c r="J3" s="12">
        <v>560</v>
      </c>
      <c r="K3" s="12">
        <v>560</v>
      </c>
      <c r="L3" s="11">
        <v>500</v>
      </c>
      <c r="M3" s="11">
        <v>60</v>
      </c>
      <c r="N3" s="10"/>
      <c r="O3" s="12">
        <v>218.56</v>
      </c>
      <c r="P3" s="12">
        <v>218.56</v>
      </c>
      <c r="Q3" s="12">
        <v>341.44</v>
      </c>
    </row>
    <row r="4" spans="1:24" hidden="1" x14ac:dyDescent="0.3">
      <c r="A4" s="8">
        <v>46055</v>
      </c>
      <c r="D4" s="11"/>
      <c r="E4" s="11" t="s">
        <v>900</v>
      </c>
      <c r="G4" t="s">
        <v>901</v>
      </c>
      <c r="H4" s="11">
        <v>2</v>
      </c>
      <c r="I4" s="11" t="s">
        <v>268</v>
      </c>
      <c r="J4" s="11">
        <v>75</v>
      </c>
      <c r="K4" s="11">
        <v>150</v>
      </c>
      <c r="L4" s="11">
        <v>133.92857142857142</v>
      </c>
      <c r="M4" s="11">
        <v>16.071428571428569</v>
      </c>
      <c r="N4" s="10"/>
      <c r="O4" s="11">
        <v>1.17</v>
      </c>
      <c r="P4" s="11">
        <v>2.34</v>
      </c>
      <c r="Q4" s="11">
        <v>147.66</v>
      </c>
    </row>
    <row r="5" spans="1:24" hidden="1" x14ac:dyDescent="0.3">
      <c r="A5" s="8">
        <v>46055</v>
      </c>
      <c r="D5" s="11" t="s">
        <v>620</v>
      </c>
      <c r="E5" s="11" t="s">
        <v>900</v>
      </c>
      <c r="G5" s="22" t="s">
        <v>902</v>
      </c>
      <c r="H5" s="11">
        <v>2</v>
      </c>
      <c r="I5" s="11" t="s">
        <v>268</v>
      </c>
      <c r="J5" s="11">
        <v>75</v>
      </c>
      <c r="K5" s="11">
        <v>150</v>
      </c>
      <c r="L5" s="11">
        <v>133.92857142857142</v>
      </c>
      <c r="M5" s="11">
        <v>16.071428571428569</v>
      </c>
      <c r="N5" s="10"/>
      <c r="O5" s="11">
        <v>7.95</v>
      </c>
      <c r="P5" s="11">
        <v>15.9</v>
      </c>
      <c r="Q5" s="11">
        <v>134.1</v>
      </c>
    </row>
    <row r="6" spans="1:24" hidden="1" x14ac:dyDescent="0.3">
      <c r="A6" s="8">
        <v>46055</v>
      </c>
      <c r="D6" s="11"/>
      <c r="E6" s="11" t="s">
        <v>900</v>
      </c>
      <c r="G6" s="22" t="s">
        <v>902</v>
      </c>
      <c r="H6" s="11">
        <v>2</v>
      </c>
      <c r="I6" s="11" t="s">
        <v>268</v>
      </c>
      <c r="J6" s="11">
        <v>75</v>
      </c>
      <c r="K6" s="11">
        <v>150</v>
      </c>
      <c r="L6" s="11">
        <v>133.92857142857142</v>
      </c>
      <c r="M6" s="11">
        <v>16.071428571428569</v>
      </c>
      <c r="N6" s="10"/>
      <c r="O6" s="11">
        <v>7.95</v>
      </c>
      <c r="P6" s="11">
        <v>15.9</v>
      </c>
      <c r="Q6" s="11">
        <v>134.1</v>
      </c>
    </row>
    <row r="7" spans="1:24" hidden="1" x14ac:dyDescent="0.3">
      <c r="A7" s="8">
        <v>46055</v>
      </c>
      <c r="D7" s="11" t="s">
        <v>620</v>
      </c>
      <c r="E7" s="11" t="s">
        <v>900</v>
      </c>
      <c r="G7" t="s">
        <v>901</v>
      </c>
      <c r="H7" s="11">
        <v>2</v>
      </c>
      <c r="I7" s="11" t="s">
        <v>268</v>
      </c>
      <c r="J7" s="11">
        <v>75</v>
      </c>
      <c r="K7" s="11">
        <v>150</v>
      </c>
      <c r="L7" s="11">
        <v>133.92857142857142</v>
      </c>
      <c r="M7" s="11">
        <v>16.071428571428569</v>
      </c>
      <c r="N7" s="10"/>
      <c r="O7" s="11">
        <v>1.17</v>
      </c>
      <c r="P7" s="11">
        <v>2.34</v>
      </c>
      <c r="Q7" s="11">
        <v>147.66</v>
      </c>
    </row>
    <row r="8" spans="1:24" hidden="1" x14ac:dyDescent="0.3">
      <c r="A8" s="8">
        <v>46055</v>
      </c>
      <c r="D8" s="11" t="s">
        <v>71</v>
      </c>
      <c r="E8" s="11" t="s">
        <v>903</v>
      </c>
      <c r="G8" s="11" t="s">
        <v>111</v>
      </c>
      <c r="H8" s="11">
        <v>1</v>
      </c>
      <c r="I8" s="11" t="s">
        <v>74</v>
      </c>
      <c r="J8" s="12">
        <v>1249</v>
      </c>
      <c r="K8" s="12">
        <v>1249</v>
      </c>
      <c r="L8" s="15">
        <v>1115.18</v>
      </c>
      <c r="M8" s="11">
        <v>133.82</v>
      </c>
      <c r="N8" s="10"/>
      <c r="O8" s="12">
        <v>870</v>
      </c>
      <c r="P8" s="12">
        <v>870</v>
      </c>
      <c r="Q8" s="12">
        <v>379</v>
      </c>
    </row>
    <row r="9" spans="1:24" hidden="1" x14ac:dyDescent="0.3">
      <c r="A9" s="8">
        <v>46055</v>
      </c>
      <c r="D9" s="11" t="s">
        <v>71</v>
      </c>
      <c r="E9" s="11" t="s">
        <v>904</v>
      </c>
      <c r="G9" s="11" t="s">
        <v>625</v>
      </c>
      <c r="H9" s="11">
        <v>2</v>
      </c>
      <c r="I9" s="11" t="s">
        <v>389</v>
      </c>
      <c r="J9" s="12">
        <v>3224</v>
      </c>
      <c r="K9" s="12">
        <v>6448</v>
      </c>
      <c r="L9" s="15">
        <v>5757.14</v>
      </c>
      <c r="M9" s="11">
        <v>690.86</v>
      </c>
      <c r="N9" s="10"/>
      <c r="O9" s="12">
        <v>2110</v>
      </c>
      <c r="P9" s="12">
        <v>4220</v>
      </c>
      <c r="Q9" s="12">
        <v>2228</v>
      </c>
    </row>
    <row r="10" spans="1:24" hidden="1" x14ac:dyDescent="0.3">
      <c r="A10" s="8">
        <v>46055</v>
      </c>
      <c r="D10" s="11" t="s">
        <v>71</v>
      </c>
      <c r="E10" s="11" t="s">
        <v>905</v>
      </c>
      <c r="G10" s="11" t="s">
        <v>625</v>
      </c>
      <c r="H10" s="11">
        <v>1</v>
      </c>
      <c r="I10" s="11" t="s">
        <v>626</v>
      </c>
      <c r="J10" s="12">
        <v>3224</v>
      </c>
      <c r="K10" s="12">
        <v>3224</v>
      </c>
      <c r="L10" s="15">
        <v>2878.57</v>
      </c>
      <c r="M10" s="11">
        <v>690.86</v>
      </c>
      <c r="N10" s="10"/>
      <c r="O10" s="12">
        <v>2110</v>
      </c>
      <c r="P10" s="12">
        <v>2110</v>
      </c>
      <c r="Q10" s="12">
        <v>1114</v>
      </c>
    </row>
    <row r="11" spans="1:24" hidden="1" x14ac:dyDescent="0.3">
      <c r="A11" s="8">
        <v>46055</v>
      </c>
      <c r="D11" s="11" t="s">
        <v>620</v>
      </c>
      <c r="E11" s="11" t="s">
        <v>906</v>
      </c>
      <c r="G11" s="11" t="s">
        <v>907</v>
      </c>
      <c r="H11" s="11">
        <v>2</v>
      </c>
      <c r="I11" s="11" t="s">
        <v>77</v>
      </c>
      <c r="J11" s="12">
        <v>350</v>
      </c>
      <c r="K11" s="12">
        <v>700</v>
      </c>
      <c r="L11" s="10"/>
      <c r="M11" s="10"/>
      <c r="N11" s="12">
        <v>700</v>
      </c>
      <c r="O11" s="12">
        <v>178.37</v>
      </c>
      <c r="P11" s="12">
        <v>356.73</v>
      </c>
      <c r="Q11" s="12">
        <v>343.27</v>
      </c>
    </row>
    <row r="12" spans="1:24" hidden="1" x14ac:dyDescent="0.3">
      <c r="A12" s="8">
        <v>46055</v>
      </c>
      <c r="D12" s="11" t="s">
        <v>908</v>
      </c>
      <c r="E12" s="11" t="s">
        <v>909</v>
      </c>
      <c r="G12" s="11" t="s">
        <v>910</v>
      </c>
      <c r="H12" s="11">
        <v>2</v>
      </c>
      <c r="I12" s="11" t="s">
        <v>389</v>
      </c>
      <c r="J12" s="12">
        <v>6800</v>
      </c>
      <c r="K12" s="12">
        <v>13600</v>
      </c>
      <c r="L12" s="15">
        <v>12142.86</v>
      </c>
      <c r="M12" s="15">
        <v>1457.14</v>
      </c>
      <c r="N12" s="11"/>
      <c r="O12" s="12">
        <v>4771.0200000000004</v>
      </c>
      <c r="P12" s="12">
        <v>9542.0400000000009</v>
      </c>
      <c r="Q12" s="12">
        <v>4057.96</v>
      </c>
    </row>
    <row r="13" spans="1:24" hidden="1" x14ac:dyDescent="0.3">
      <c r="A13" s="8">
        <v>46055</v>
      </c>
      <c r="D13" s="11" t="s">
        <v>911</v>
      </c>
      <c r="E13" s="11" t="s">
        <v>909</v>
      </c>
      <c r="G13" s="11" t="s">
        <v>219</v>
      </c>
      <c r="H13" s="11">
        <v>1</v>
      </c>
      <c r="I13" s="11" t="s">
        <v>220</v>
      </c>
      <c r="J13" s="12">
        <v>6250</v>
      </c>
      <c r="K13" s="12">
        <v>6250</v>
      </c>
      <c r="L13" s="15">
        <v>5580.36</v>
      </c>
      <c r="M13" s="11">
        <v>669.64</v>
      </c>
      <c r="N13" s="10"/>
      <c r="O13" s="12">
        <v>4140</v>
      </c>
      <c r="P13" s="12">
        <v>4140</v>
      </c>
      <c r="Q13" s="12">
        <v>2110</v>
      </c>
    </row>
    <row r="14" spans="1:24" hidden="1" x14ac:dyDescent="0.3">
      <c r="A14" s="8">
        <v>46055</v>
      </c>
      <c r="D14" s="11" t="s">
        <v>911</v>
      </c>
      <c r="E14" s="11" t="s">
        <v>909</v>
      </c>
      <c r="G14" s="11" t="s">
        <v>255</v>
      </c>
      <c r="H14" s="11">
        <v>1</v>
      </c>
      <c r="I14" s="11" t="s">
        <v>220</v>
      </c>
      <c r="J14" s="12">
        <v>6250</v>
      </c>
      <c r="K14" s="12">
        <v>6250</v>
      </c>
      <c r="L14" s="15">
        <v>5580.36</v>
      </c>
      <c r="M14" s="11">
        <v>669.64</v>
      </c>
      <c r="N14" s="10"/>
      <c r="O14" s="12">
        <v>4140</v>
      </c>
      <c r="P14" s="12">
        <v>4140</v>
      </c>
      <c r="Q14" s="12">
        <v>2110</v>
      </c>
    </row>
    <row r="15" spans="1:24" hidden="1" x14ac:dyDescent="0.3">
      <c r="A15" s="8">
        <v>46055</v>
      </c>
      <c r="D15" s="11" t="s">
        <v>911</v>
      </c>
      <c r="E15" s="11" t="s">
        <v>909</v>
      </c>
      <c r="G15" s="11" t="s">
        <v>912</v>
      </c>
      <c r="H15" s="11">
        <v>5</v>
      </c>
      <c r="I15" s="11" t="s">
        <v>130</v>
      </c>
      <c r="J15" s="12">
        <v>150</v>
      </c>
      <c r="K15" s="12">
        <v>750</v>
      </c>
      <c r="L15" s="11">
        <v>669.64</v>
      </c>
      <c r="M15" s="11">
        <v>80.36</v>
      </c>
      <c r="N15" s="10"/>
      <c r="O15" s="12">
        <v>7.34</v>
      </c>
      <c r="P15" s="12">
        <v>36.71</v>
      </c>
      <c r="Q15" s="12">
        <v>713.29</v>
      </c>
    </row>
    <row r="16" spans="1:24" hidden="1" x14ac:dyDescent="0.3">
      <c r="A16" s="8">
        <v>46056</v>
      </c>
      <c r="D16" s="11" t="s">
        <v>71</v>
      </c>
      <c r="E16" s="11" t="s">
        <v>913</v>
      </c>
      <c r="G16" s="11" t="s">
        <v>907</v>
      </c>
      <c r="H16" s="11">
        <v>3</v>
      </c>
      <c r="I16" s="11" t="s">
        <v>77</v>
      </c>
      <c r="J16" s="12">
        <v>350</v>
      </c>
      <c r="K16" s="12">
        <v>1050</v>
      </c>
      <c r="L16" s="10"/>
      <c r="M16" s="10"/>
      <c r="N16" s="12">
        <v>1050</v>
      </c>
      <c r="O16" s="12">
        <v>178.37</v>
      </c>
      <c r="P16" s="12">
        <v>535.11</v>
      </c>
      <c r="Q16" s="12">
        <v>514.89</v>
      </c>
    </row>
    <row r="17" spans="1:17" hidden="1" x14ac:dyDescent="0.3">
      <c r="A17" s="8">
        <v>46056</v>
      </c>
      <c r="D17" s="11" t="s">
        <v>89</v>
      </c>
      <c r="E17" s="11" t="s">
        <v>914</v>
      </c>
      <c r="G17" s="11" t="s">
        <v>907</v>
      </c>
      <c r="H17" s="14">
        <v>1</v>
      </c>
      <c r="I17" s="11" t="s">
        <v>100</v>
      </c>
      <c r="J17" s="12">
        <v>5500</v>
      </c>
      <c r="K17" s="12">
        <v>5500</v>
      </c>
      <c r="L17" s="10"/>
      <c r="M17" s="10"/>
      <c r="N17" s="12">
        <v>5500</v>
      </c>
      <c r="O17" s="12">
        <v>3731.54</v>
      </c>
      <c r="P17" s="12">
        <v>3731.54</v>
      </c>
      <c r="Q17" s="12">
        <v>1768.46</v>
      </c>
    </row>
    <row r="18" spans="1:17" hidden="1" x14ac:dyDescent="0.3">
      <c r="A18" s="8">
        <v>46056</v>
      </c>
      <c r="D18" s="11" t="s">
        <v>915</v>
      </c>
      <c r="E18" s="11" t="s">
        <v>916</v>
      </c>
      <c r="G18" s="11" t="s">
        <v>111</v>
      </c>
      <c r="H18" s="11">
        <v>1</v>
      </c>
      <c r="I18" s="11" t="s">
        <v>74</v>
      </c>
      <c r="J18" s="12">
        <v>1249</v>
      </c>
      <c r="K18" s="12">
        <v>1249</v>
      </c>
      <c r="L18" s="15">
        <v>1115.18</v>
      </c>
      <c r="M18" s="11">
        <v>133.82</v>
      </c>
      <c r="N18" s="10"/>
      <c r="O18" s="12">
        <v>870</v>
      </c>
      <c r="P18" s="12">
        <v>870</v>
      </c>
      <c r="Q18" s="12">
        <v>379</v>
      </c>
    </row>
    <row r="19" spans="1:17" hidden="1" x14ac:dyDescent="0.3">
      <c r="A19" s="8">
        <v>46056</v>
      </c>
      <c r="D19" s="11" t="s">
        <v>915</v>
      </c>
      <c r="E19" s="11" t="s">
        <v>916</v>
      </c>
      <c r="G19" s="11" t="s">
        <v>219</v>
      </c>
      <c r="H19" s="11">
        <v>3</v>
      </c>
      <c r="I19" s="11" t="s">
        <v>627</v>
      </c>
      <c r="J19" s="12">
        <v>350</v>
      </c>
      <c r="K19" s="12">
        <v>1050</v>
      </c>
      <c r="L19" s="11">
        <v>937.5</v>
      </c>
      <c r="M19" s="11">
        <v>112.5</v>
      </c>
      <c r="N19" s="10"/>
      <c r="O19" s="12">
        <v>172.5</v>
      </c>
      <c r="P19" s="12">
        <v>517.5</v>
      </c>
      <c r="Q19" s="12">
        <v>532.5</v>
      </c>
    </row>
    <row r="20" spans="1:17" hidden="1" x14ac:dyDescent="0.3">
      <c r="A20" s="8">
        <v>46057</v>
      </c>
      <c r="D20" s="11" t="s">
        <v>71</v>
      </c>
      <c r="E20" s="11" t="s">
        <v>917</v>
      </c>
      <c r="G20" s="11" t="s">
        <v>907</v>
      </c>
      <c r="H20" s="14">
        <v>1</v>
      </c>
      <c r="I20" s="11" t="s">
        <v>100</v>
      </c>
      <c r="J20" s="12">
        <v>6100</v>
      </c>
      <c r="K20" s="12">
        <v>6100</v>
      </c>
      <c r="L20" s="10"/>
      <c r="M20" s="10"/>
      <c r="N20" s="12">
        <v>6100</v>
      </c>
      <c r="O20" s="12">
        <v>3731.54</v>
      </c>
      <c r="P20" s="12">
        <v>3731.54</v>
      </c>
      <c r="Q20" s="12">
        <v>2368.46</v>
      </c>
    </row>
    <row r="21" spans="1:17" hidden="1" x14ac:dyDescent="0.3">
      <c r="A21" s="8">
        <v>46057</v>
      </c>
      <c r="D21" s="11" t="s">
        <v>71</v>
      </c>
      <c r="E21" s="11" t="s">
        <v>918</v>
      </c>
      <c r="G21" s="11" t="s">
        <v>907</v>
      </c>
      <c r="H21" s="11">
        <v>4</v>
      </c>
      <c r="I21" s="11" t="s">
        <v>77</v>
      </c>
      <c r="J21" s="12">
        <v>350</v>
      </c>
      <c r="K21" s="12">
        <v>1400</v>
      </c>
      <c r="L21" s="10"/>
      <c r="M21" s="10"/>
      <c r="N21" s="12">
        <v>1400</v>
      </c>
      <c r="O21" s="12">
        <v>178.37</v>
      </c>
      <c r="P21" s="12">
        <v>713.48</v>
      </c>
      <c r="Q21" s="12">
        <v>686.52</v>
      </c>
    </row>
    <row r="22" spans="1:17" hidden="1" x14ac:dyDescent="0.3">
      <c r="A22" s="8">
        <v>46057</v>
      </c>
      <c r="D22" s="11" t="s">
        <v>919</v>
      </c>
      <c r="E22" s="11" t="s">
        <v>920</v>
      </c>
      <c r="G22" s="11" t="s">
        <v>921</v>
      </c>
      <c r="H22" s="11">
        <v>1</v>
      </c>
      <c r="I22" s="11" t="s">
        <v>86</v>
      </c>
      <c r="J22" s="12">
        <v>65000</v>
      </c>
      <c r="K22" s="12">
        <v>65000</v>
      </c>
      <c r="L22" s="15">
        <v>58035.71</v>
      </c>
      <c r="M22" s="15">
        <v>6964.29</v>
      </c>
      <c r="N22" s="11" t="s">
        <v>922</v>
      </c>
      <c r="O22" s="12">
        <v>31242.41</v>
      </c>
      <c r="P22" s="12">
        <v>31242.41</v>
      </c>
      <c r="Q22" s="12">
        <v>33757.589999999997</v>
      </c>
    </row>
    <row r="23" spans="1:17" hidden="1" x14ac:dyDescent="0.3">
      <c r="A23" s="8">
        <v>46057</v>
      </c>
      <c r="D23" s="11" t="s">
        <v>923</v>
      </c>
      <c r="E23" s="11" t="s">
        <v>621</v>
      </c>
      <c r="G23" t="s">
        <v>924</v>
      </c>
      <c r="H23" s="11">
        <v>2</v>
      </c>
      <c r="I23" s="11" t="s">
        <v>268</v>
      </c>
      <c r="J23" s="12">
        <v>500</v>
      </c>
      <c r="K23" s="12">
        <v>1000</v>
      </c>
      <c r="L23" s="11">
        <v>892.86</v>
      </c>
      <c r="M23" s="11">
        <v>107.14</v>
      </c>
      <c r="N23" s="10"/>
      <c r="O23" s="12">
        <v>179.76</v>
      </c>
      <c r="P23" s="12">
        <v>359.53</v>
      </c>
      <c r="Q23" s="12">
        <v>640.47</v>
      </c>
    </row>
    <row r="24" spans="1:17" hidden="1" x14ac:dyDescent="0.3">
      <c r="A24" s="8">
        <v>46057</v>
      </c>
      <c r="D24" s="11" t="s">
        <v>923</v>
      </c>
      <c r="E24" s="11" t="s">
        <v>621</v>
      </c>
      <c r="G24" s="22" t="s">
        <v>925</v>
      </c>
      <c r="H24" s="11">
        <v>2</v>
      </c>
      <c r="I24" s="11" t="s">
        <v>268</v>
      </c>
      <c r="J24" s="11">
        <v>750</v>
      </c>
      <c r="K24" s="11">
        <v>1500</v>
      </c>
      <c r="L24" s="11">
        <v>1339.2875713999999</v>
      </c>
      <c r="M24" s="11">
        <v>160.71</v>
      </c>
      <c r="N24" s="10"/>
      <c r="O24" s="11">
        <v>82.65</v>
      </c>
      <c r="P24" s="11">
        <v>165.3</v>
      </c>
      <c r="Q24" s="11">
        <v>584.70000000000005</v>
      </c>
    </row>
    <row r="25" spans="1:17" hidden="1" x14ac:dyDescent="0.3">
      <c r="A25" s="8">
        <v>46057</v>
      </c>
      <c r="D25" s="11" t="s">
        <v>923</v>
      </c>
      <c r="E25" s="11" t="s">
        <v>621</v>
      </c>
      <c r="G25" s="11" t="s">
        <v>926</v>
      </c>
      <c r="H25" s="11">
        <v>2</v>
      </c>
      <c r="I25" s="11" t="s">
        <v>86</v>
      </c>
      <c r="J25" s="11">
        <v>750</v>
      </c>
      <c r="K25" s="11">
        <v>1500</v>
      </c>
      <c r="L25" s="11">
        <v>1339.2857142857142</v>
      </c>
      <c r="M25" s="11">
        <v>160.71428571428569</v>
      </c>
      <c r="N25" s="10"/>
      <c r="O25" s="11">
        <v>56.43</v>
      </c>
      <c r="P25" s="11">
        <v>112.86</v>
      </c>
      <c r="Q25" s="11">
        <v>1387.14</v>
      </c>
    </row>
    <row r="26" spans="1:17" hidden="1" x14ac:dyDescent="0.3">
      <c r="A26" s="8">
        <v>46057</v>
      </c>
      <c r="D26" s="11" t="s">
        <v>923</v>
      </c>
      <c r="E26" s="11" t="s">
        <v>621</v>
      </c>
      <c r="G26" s="11" t="s">
        <v>927</v>
      </c>
      <c r="H26" s="11">
        <v>2</v>
      </c>
      <c r="I26" s="11" t="s">
        <v>86</v>
      </c>
      <c r="J26" s="12">
        <v>1800</v>
      </c>
      <c r="K26" s="12">
        <v>3600</v>
      </c>
      <c r="L26" s="15">
        <v>3214.29</v>
      </c>
      <c r="M26" s="11">
        <v>385.71</v>
      </c>
      <c r="N26" s="10"/>
      <c r="O26" s="12">
        <v>521.59</v>
      </c>
      <c r="P26" s="12">
        <v>1043.18</v>
      </c>
      <c r="Q26" s="12">
        <v>2556.8200000000002</v>
      </c>
    </row>
    <row r="27" spans="1:17" hidden="1" x14ac:dyDescent="0.3">
      <c r="A27" s="8">
        <v>46057</v>
      </c>
      <c r="D27" s="11" t="s">
        <v>923</v>
      </c>
      <c r="E27" s="11" t="s">
        <v>621</v>
      </c>
      <c r="G27" s="11" t="s">
        <v>928</v>
      </c>
      <c r="H27" s="11">
        <v>6</v>
      </c>
      <c r="I27" s="11" t="s">
        <v>149</v>
      </c>
      <c r="J27" s="12">
        <v>300</v>
      </c>
      <c r="K27" s="12">
        <v>1800</v>
      </c>
      <c r="L27" s="15">
        <v>1607.14</v>
      </c>
      <c r="M27" s="11">
        <v>192.86</v>
      </c>
      <c r="N27" s="10"/>
      <c r="O27" s="12">
        <v>119.01</v>
      </c>
      <c r="P27" s="12">
        <v>714.06</v>
      </c>
      <c r="Q27" s="12">
        <v>1085.94</v>
      </c>
    </row>
    <row r="28" spans="1:17" hidden="1" x14ac:dyDescent="0.3">
      <c r="A28" s="8">
        <v>46057</v>
      </c>
      <c r="D28" s="11" t="s">
        <v>923</v>
      </c>
      <c r="E28" s="11" t="s">
        <v>621</v>
      </c>
      <c r="G28" s="11" t="s">
        <v>897</v>
      </c>
      <c r="H28" s="11">
        <v>6</v>
      </c>
      <c r="I28" s="11" t="s">
        <v>149</v>
      </c>
      <c r="J28" s="12">
        <v>300</v>
      </c>
      <c r="K28" s="12">
        <v>1800</v>
      </c>
      <c r="L28" s="15">
        <v>1607.14</v>
      </c>
      <c r="M28" s="11">
        <v>192.86</v>
      </c>
      <c r="N28" s="10"/>
      <c r="O28" s="12">
        <v>55.01</v>
      </c>
      <c r="P28" s="12">
        <v>330.06</v>
      </c>
      <c r="Q28" s="12">
        <v>1469.94</v>
      </c>
    </row>
    <row r="29" spans="1:17" hidden="1" x14ac:dyDescent="0.3">
      <c r="A29" s="8">
        <v>46057</v>
      </c>
      <c r="D29" s="11" t="s">
        <v>929</v>
      </c>
      <c r="E29" s="11" t="s">
        <v>621</v>
      </c>
      <c r="G29" t="s">
        <v>930</v>
      </c>
      <c r="H29" s="11">
        <v>2</v>
      </c>
      <c r="I29" s="11" t="s">
        <v>268</v>
      </c>
      <c r="J29" s="12">
        <v>500</v>
      </c>
      <c r="K29" s="12">
        <v>1000</v>
      </c>
      <c r="L29" s="11">
        <v>892.86</v>
      </c>
      <c r="M29" s="11">
        <v>107.14</v>
      </c>
      <c r="N29" s="10"/>
      <c r="O29" s="12">
        <v>301.58</v>
      </c>
      <c r="P29" s="12">
        <v>603.16</v>
      </c>
      <c r="Q29" s="12">
        <v>396.84</v>
      </c>
    </row>
    <row r="30" spans="1:17" hidden="1" x14ac:dyDescent="0.3">
      <c r="A30" s="8">
        <v>46057</v>
      </c>
      <c r="D30" s="11" t="s">
        <v>929</v>
      </c>
      <c r="E30" s="11" t="s">
        <v>621</v>
      </c>
      <c r="G30" t="s">
        <v>931</v>
      </c>
      <c r="H30" s="11">
        <v>2</v>
      </c>
      <c r="I30" s="11" t="s">
        <v>268</v>
      </c>
      <c r="J30" s="12">
        <v>500</v>
      </c>
      <c r="K30" s="12">
        <v>1000</v>
      </c>
      <c r="L30" s="11">
        <v>892.86</v>
      </c>
      <c r="M30" s="11">
        <v>107.14</v>
      </c>
      <c r="N30" s="10"/>
      <c r="O30" s="12">
        <v>34.36</v>
      </c>
      <c r="P30" s="12">
        <v>68.72</v>
      </c>
      <c r="Q30" s="12">
        <v>931.28</v>
      </c>
    </row>
    <row r="31" spans="1:17" hidden="1" x14ac:dyDescent="0.3">
      <c r="A31" s="8">
        <v>46057</v>
      </c>
      <c r="D31" s="11" t="s">
        <v>929</v>
      </c>
      <c r="E31" s="11" t="s">
        <v>621</v>
      </c>
      <c r="G31" s="11" t="s">
        <v>932</v>
      </c>
      <c r="H31" s="11">
        <v>4</v>
      </c>
      <c r="I31" s="11" t="s">
        <v>130</v>
      </c>
      <c r="J31" s="12">
        <v>800</v>
      </c>
      <c r="K31" s="12">
        <v>3200</v>
      </c>
      <c r="L31" s="15">
        <v>2857.14</v>
      </c>
      <c r="M31" s="11">
        <v>342.86</v>
      </c>
      <c r="N31" s="10"/>
      <c r="O31" s="12">
        <v>520</v>
      </c>
      <c r="P31" s="12">
        <v>2080</v>
      </c>
      <c r="Q31" s="12">
        <v>1120</v>
      </c>
    </row>
    <row r="32" spans="1:17" x14ac:dyDescent="0.3">
      <c r="A32" s="8">
        <v>46057</v>
      </c>
      <c r="D32" s="11" t="s">
        <v>929</v>
      </c>
      <c r="E32" s="11" t="s">
        <v>621</v>
      </c>
      <c r="G32" s="11" t="s">
        <v>933</v>
      </c>
      <c r="H32" s="11">
        <v>1</v>
      </c>
      <c r="I32" s="11" t="s">
        <v>183</v>
      </c>
      <c r="J32" s="12">
        <v>1000</v>
      </c>
      <c r="K32" s="12">
        <v>1000</v>
      </c>
      <c r="L32" s="11">
        <v>892.86</v>
      </c>
      <c r="M32" s="11">
        <v>107.14</v>
      </c>
      <c r="N32" s="10"/>
      <c r="O32" s="10"/>
      <c r="P32" s="11" t="s">
        <v>922</v>
      </c>
      <c r="Q32" s="12">
        <v>1000</v>
      </c>
    </row>
    <row r="33" spans="1:17" hidden="1" x14ac:dyDescent="0.3">
      <c r="A33" s="8">
        <v>46058</v>
      </c>
      <c r="D33" s="11" t="s">
        <v>71</v>
      </c>
      <c r="E33" s="11" t="s">
        <v>934</v>
      </c>
      <c r="G33" s="11" t="s">
        <v>625</v>
      </c>
      <c r="H33" s="11">
        <v>1</v>
      </c>
      <c r="I33" s="11" t="s">
        <v>626</v>
      </c>
      <c r="J33" s="12">
        <v>3224</v>
      </c>
      <c r="K33" s="12">
        <v>3224</v>
      </c>
      <c r="L33" s="15">
        <v>2878.57</v>
      </c>
      <c r="M33" s="11">
        <v>690.86</v>
      </c>
      <c r="N33" s="10"/>
      <c r="O33" s="12">
        <v>2110</v>
      </c>
      <c r="P33" s="12">
        <v>2110</v>
      </c>
      <c r="Q33" s="12">
        <v>1114</v>
      </c>
    </row>
    <row r="34" spans="1:17" hidden="1" x14ac:dyDescent="0.3">
      <c r="A34" s="8">
        <v>46058</v>
      </c>
      <c r="D34" s="11" t="s">
        <v>71</v>
      </c>
      <c r="E34" s="11" t="s">
        <v>935</v>
      </c>
      <c r="G34" s="11" t="s">
        <v>219</v>
      </c>
      <c r="H34" s="11">
        <v>1</v>
      </c>
      <c r="I34" s="11" t="s">
        <v>627</v>
      </c>
      <c r="J34" s="12">
        <v>350</v>
      </c>
      <c r="K34" s="12">
        <v>350</v>
      </c>
      <c r="L34" s="11">
        <v>312.5</v>
      </c>
      <c r="M34" s="11">
        <v>37.5</v>
      </c>
      <c r="N34" s="10"/>
      <c r="O34" s="12">
        <v>172.5</v>
      </c>
      <c r="P34" s="12">
        <v>172.5</v>
      </c>
      <c r="Q34" s="12">
        <v>177.5</v>
      </c>
    </row>
    <row r="35" spans="1:17" hidden="1" x14ac:dyDescent="0.3">
      <c r="A35" s="8">
        <v>46058</v>
      </c>
      <c r="D35" s="11" t="s">
        <v>936</v>
      </c>
      <c r="E35" s="11" t="s">
        <v>937</v>
      </c>
      <c r="G35" s="11" t="s">
        <v>907</v>
      </c>
      <c r="H35" s="14">
        <v>5</v>
      </c>
      <c r="I35" s="11" t="s">
        <v>100</v>
      </c>
      <c r="J35" s="12">
        <v>6100</v>
      </c>
      <c r="K35" s="12">
        <v>30500</v>
      </c>
      <c r="L35" s="10"/>
      <c r="M35" s="10"/>
      <c r="N35" s="12">
        <v>30500</v>
      </c>
      <c r="O35" s="12">
        <v>3731.54</v>
      </c>
      <c r="P35" s="12">
        <v>18657.7</v>
      </c>
      <c r="Q35" s="12">
        <v>11842.3</v>
      </c>
    </row>
    <row r="36" spans="1:17" hidden="1" x14ac:dyDescent="0.3">
      <c r="A36" s="8">
        <v>46058</v>
      </c>
      <c r="D36" s="11" t="s">
        <v>89</v>
      </c>
      <c r="E36" s="11" t="s">
        <v>938</v>
      </c>
      <c r="G36" s="11" t="s">
        <v>907</v>
      </c>
      <c r="H36" s="14">
        <v>1</v>
      </c>
      <c r="I36" s="11" t="s">
        <v>100</v>
      </c>
      <c r="J36" s="12">
        <v>5500</v>
      </c>
      <c r="K36" s="12">
        <v>5500</v>
      </c>
      <c r="L36" s="10"/>
      <c r="M36" s="10"/>
      <c r="N36" s="12">
        <v>5500</v>
      </c>
      <c r="O36" s="12">
        <v>3731.54</v>
      </c>
      <c r="P36" s="12">
        <v>3731.54</v>
      </c>
      <c r="Q36" s="12">
        <v>1768.46</v>
      </c>
    </row>
    <row r="37" spans="1:17" hidden="1" x14ac:dyDescent="0.3">
      <c r="A37" s="8">
        <v>46058</v>
      </c>
      <c r="D37" s="11" t="s">
        <v>71</v>
      </c>
      <c r="E37" s="11" t="s">
        <v>939</v>
      </c>
      <c r="G37" s="11" t="s">
        <v>940</v>
      </c>
      <c r="H37" s="11">
        <v>4</v>
      </c>
      <c r="I37" s="11" t="s">
        <v>234</v>
      </c>
      <c r="J37" s="12">
        <v>300</v>
      </c>
      <c r="K37" s="12">
        <v>1200</v>
      </c>
      <c r="L37" s="15">
        <v>1071.43</v>
      </c>
      <c r="M37" s="11">
        <v>128.57</v>
      </c>
      <c r="N37" s="10"/>
      <c r="O37" s="12">
        <v>84.68</v>
      </c>
      <c r="P37" s="12">
        <v>338.72</v>
      </c>
      <c r="Q37" s="12">
        <v>861.28</v>
      </c>
    </row>
    <row r="38" spans="1:17" hidden="1" x14ac:dyDescent="0.3">
      <c r="A38" s="8">
        <v>46058</v>
      </c>
      <c r="D38" s="11" t="s">
        <v>915</v>
      </c>
      <c r="E38" s="11" t="s">
        <v>941</v>
      </c>
      <c r="G38" s="11" t="s">
        <v>907</v>
      </c>
      <c r="H38" s="14">
        <v>10</v>
      </c>
      <c r="I38" s="11" t="s">
        <v>100</v>
      </c>
      <c r="J38" s="12">
        <v>5250</v>
      </c>
      <c r="K38" s="12">
        <v>52500</v>
      </c>
      <c r="L38" s="10"/>
      <c r="M38" s="10"/>
      <c r="N38" s="12">
        <v>52500</v>
      </c>
      <c r="O38" s="12">
        <v>3731.54</v>
      </c>
      <c r="P38" s="12">
        <v>37315.4</v>
      </c>
      <c r="Q38" s="12">
        <v>15184.6</v>
      </c>
    </row>
    <row r="39" spans="1:17" hidden="1" x14ac:dyDescent="0.3">
      <c r="A39" s="8">
        <v>46058</v>
      </c>
      <c r="D39" s="11" t="s">
        <v>942</v>
      </c>
      <c r="E39" s="11" t="s">
        <v>943</v>
      </c>
      <c r="G39" s="11" t="s">
        <v>907</v>
      </c>
      <c r="H39" s="11">
        <v>4</v>
      </c>
      <c r="I39" s="11" t="s">
        <v>100</v>
      </c>
      <c r="J39" s="12">
        <v>5000</v>
      </c>
      <c r="K39" s="12">
        <v>20000</v>
      </c>
      <c r="L39" s="10"/>
      <c r="M39" s="10"/>
      <c r="N39" s="12">
        <v>20000</v>
      </c>
      <c r="O39" s="12">
        <v>3731.54</v>
      </c>
      <c r="P39" s="12">
        <v>14926.16</v>
      </c>
      <c r="Q39" s="12">
        <v>5073.84</v>
      </c>
    </row>
    <row r="40" spans="1:17" hidden="1" x14ac:dyDescent="0.3">
      <c r="A40" s="8">
        <v>46058</v>
      </c>
      <c r="D40" s="11" t="s">
        <v>942</v>
      </c>
      <c r="E40" s="11" t="s">
        <v>943</v>
      </c>
      <c r="G40" s="11" t="s">
        <v>219</v>
      </c>
      <c r="H40" s="11">
        <v>1</v>
      </c>
      <c r="I40" s="11" t="s">
        <v>220</v>
      </c>
      <c r="J40" s="12">
        <v>6250</v>
      </c>
      <c r="K40" s="12">
        <v>6250</v>
      </c>
      <c r="L40" s="15">
        <v>5580.36</v>
      </c>
      <c r="M40" s="11">
        <v>669.64</v>
      </c>
      <c r="N40" s="10"/>
      <c r="O40" s="12">
        <v>4140</v>
      </c>
      <c r="P40" s="12">
        <v>4140</v>
      </c>
      <c r="Q40" s="12">
        <v>2110</v>
      </c>
    </row>
    <row r="41" spans="1:17" hidden="1" x14ac:dyDescent="0.3">
      <c r="A41" s="8">
        <v>46058</v>
      </c>
      <c r="D41" s="11" t="s">
        <v>942</v>
      </c>
      <c r="E41" s="11" t="s">
        <v>943</v>
      </c>
      <c r="G41" s="11" t="s">
        <v>255</v>
      </c>
      <c r="H41" s="11">
        <v>2</v>
      </c>
      <c r="I41" s="11" t="s">
        <v>220</v>
      </c>
      <c r="J41" s="12">
        <v>6250</v>
      </c>
      <c r="K41" s="12">
        <v>12500</v>
      </c>
      <c r="L41" s="15">
        <v>11160.71</v>
      </c>
      <c r="M41" s="15">
        <v>1339.29</v>
      </c>
      <c r="N41" s="10"/>
      <c r="O41" s="12">
        <v>4140</v>
      </c>
      <c r="P41" s="12">
        <v>8280</v>
      </c>
      <c r="Q41" s="12">
        <v>4220</v>
      </c>
    </row>
    <row r="42" spans="1:17" hidden="1" x14ac:dyDescent="0.3">
      <c r="A42" s="8">
        <v>46058</v>
      </c>
      <c r="D42" s="11" t="s">
        <v>942</v>
      </c>
      <c r="E42" s="11" t="s">
        <v>943</v>
      </c>
      <c r="G42" s="11" t="s">
        <v>107</v>
      </c>
      <c r="H42" s="11">
        <v>2</v>
      </c>
      <c r="I42" s="11" t="s">
        <v>74</v>
      </c>
      <c r="J42" s="12">
        <v>850</v>
      </c>
      <c r="K42" s="12">
        <v>1700</v>
      </c>
      <c r="L42" s="15">
        <v>1517.86</v>
      </c>
      <c r="M42" s="11">
        <v>182.14</v>
      </c>
      <c r="N42" s="10"/>
      <c r="O42" s="12">
        <v>583.33000000000004</v>
      </c>
      <c r="P42" s="12">
        <v>1166.6600000000001</v>
      </c>
      <c r="Q42" s="12">
        <v>533.34</v>
      </c>
    </row>
    <row r="43" spans="1:17" hidden="1" x14ac:dyDescent="0.3">
      <c r="A43" s="8">
        <v>46058</v>
      </c>
      <c r="D43" s="11" t="s">
        <v>944</v>
      </c>
      <c r="E43" s="11" t="s">
        <v>945</v>
      </c>
      <c r="G43" s="11" t="s">
        <v>907</v>
      </c>
      <c r="H43" s="14">
        <v>5</v>
      </c>
      <c r="I43" s="11" t="s">
        <v>100</v>
      </c>
      <c r="J43" s="12">
        <v>5000</v>
      </c>
      <c r="K43" s="12">
        <v>25000</v>
      </c>
      <c r="L43" s="10"/>
      <c r="M43" s="10"/>
      <c r="N43" s="12">
        <v>25000</v>
      </c>
      <c r="O43" s="12">
        <v>3731.54</v>
      </c>
      <c r="P43" s="12">
        <v>18657.7</v>
      </c>
      <c r="Q43" s="12">
        <v>6342.3</v>
      </c>
    </row>
    <row r="44" spans="1:17" hidden="1" x14ac:dyDescent="0.3">
      <c r="A44" s="8">
        <v>46058</v>
      </c>
      <c r="D44" s="11" t="s">
        <v>946</v>
      </c>
      <c r="E44" s="11" t="s">
        <v>947</v>
      </c>
      <c r="G44" s="11" t="s">
        <v>383</v>
      </c>
      <c r="H44" s="11">
        <v>8</v>
      </c>
      <c r="I44" s="11" t="s">
        <v>234</v>
      </c>
      <c r="J44" s="12">
        <v>2139</v>
      </c>
      <c r="K44" s="12">
        <v>17112</v>
      </c>
      <c r="L44" s="15">
        <v>15278.57</v>
      </c>
      <c r="M44" s="15">
        <v>1833.43</v>
      </c>
      <c r="N44" s="10"/>
      <c r="O44" s="12">
        <v>1341.68</v>
      </c>
      <c r="P44" s="12">
        <v>10733.42</v>
      </c>
      <c r="Q44" s="12">
        <v>6378.58</v>
      </c>
    </row>
    <row r="45" spans="1:17" hidden="1" x14ac:dyDescent="0.3">
      <c r="A45" s="8">
        <v>46059</v>
      </c>
      <c r="D45" s="11" t="s">
        <v>948</v>
      </c>
      <c r="E45" s="11" t="s">
        <v>949</v>
      </c>
      <c r="G45" s="11" t="s">
        <v>907</v>
      </c>
      <c r="H45" s="14">
        <v>20</v>
      </c>
      <c r="I45" s="11" t="s">
        <v>100</v>
      </c>
      <c r="J45" s="12">
        <v>5250</v>
      </c>
      <c r="K45" s="12">
        <v>105000</v>
      </c>
      <c r="L45" s="10"/>
      <c r="M45" s="10"/>
      <c r="N45" s="12">
        <v>105000</v>
      </c>
      <c r="O45" s="12">
        <v>3731.54</v>
      </c>
      <c r="P45" s="12">
        <v>74630.8</v>
      </c>
      <c r="Q45" s="12">
        <v>30369.200000000001</v>
      </c>
    </row>
    <row r="46" spans="1:17" hidden="1" x14ac:dyDescent="0.3">
      <c r="A46" s="8">
        <v>46059</v>
      </c>
      <c r="D46" s="11" t="s">
        <v>71</v>
      </c>
      <c r="E46" s="11" t="s">
        <v>950</v>
      </c>
      <c r="G46" s="11" t="s">
        <v>73</v>
      </c>
      <c r="H46" s="11">
        <v>2</v>
      </c>
      <c r="I46" s="11" t="s">
        <v>234</v>
      </c>
      <c r="J46" s="12">
        <v>690</v>
      </c>
      <c r="K46" s="12">
        <v>1380</v>
      </c>
      <c r="L46" s="15">
        <v>1232.1400000000001</v>
      </c>
      <c r="M46" s="11">
        <v>147.86000000000001</v>
      </c>
      <c r="N46" s="10"/>
      <c r="O46" s="12">
        <v>395.83</v>
      </c>
      <c r="P46" s="12">
        <v>791.66</v>
      </c>
      <c r="Q46" s="12">
        <v>588.34</v>
      </c>
    </row>
    <row r="47" spans="1:17" hidden="1" x14ac:dyDescent="0.3">
      <c r="A47" s="8">
        <v>46059</v>
      </c>
      <c r="D47" s="11" t="s">
        <v>915</v>
      </c>
      <c r="E47" s="11" t="s">
        <v>951</v>
      </c>
      <c r="G47" s="11" t="s">
        <v>907</v>
      </c>
      <c r="H47" s="11">
        <v>1</v>
      </c>
      <c r="I47" s="11" t="s">
        <v>100</v>
      </c>
      <c r="J47" s="12">
        <v>5500</v>
      </c>
      <c r="K47" s="12">
        <v>5500</v>
      </c>
      <c r="L47" s="10"/>
      <c r="M47" s="10"/>
      <c r="N47" s="12">
        <v>5500</v>
      </c>
      <c r="O47" s="12">
        <v>3655.8</v>
      </c>
      <c r="P47" s="12">
        <v>3655.8</v>
      </c>
      <c r="Q47" s="12">
        <v>1844.2</v>
      </c>
    </row>
    <row r="48" spans="1:17" hidden="1" x14ac:dyDescent="0.3">
      <c r="A48" s="8">
        <v>46059</v>
      </c>
      <c r="D48" s="11" t="s">
        <v>89</v>
      </c>
      <c r="E48" s="11" t="s">
        <v>952</v>
      </c>
      <c r="G48" s="11" t="s">
        <v>907</v>
      </c>
      <c r="H48" s="11">
        <v>96</v>
      </c>
      <c r="I48" s="11" t="s">
        <v>77</v>
      </c>
      <c r="J48" s="12">
        <v>240</v>
      </c>
      <c r="K48" s="12">
        <v>23040</v>
      </c>
      <c r="L48" s="10"/>
      <c r="M48" s="10"/>
      <c r="N48" s="12">
        <v>23040</v>
      </c>
      <c r="O48" s="12">
        <v>178.37</v>
      </c>
      <c r="P48" s="12">
        <v>17123.189999999999</v>
      </c>
      <c r="Q48" s="12">
        <v>5916.81</v>
      </c>
    </row>
    <row r="49" spans="1:17" hidden="1" x14ac:dyDescent="0.3">
      <c r="A49" s="8">
        <v>46059</v>
      </c>
      <c r="D49" s="11" t="s">
        <v>71</v>
      </c>
      <c r="E49" s="11" t="s">
        <v>953</v>
      </c>
      <c r="G49" s="11" t="s">
        <v>111</v>
      </c>
      <c r="H49" s="11">
        <v>2</v>
      </c>
      <c r="I49" s="11" t="s">
        <v>74</v>
      </c>
      <c r="J49" s="12">
        <v>1249</v>
      </c>
      <c r="K49" s="12">
        <v>2498</v>
      </c>
      <c r="L49" s="15">
        <v>2230.36</v>
      </c>
      <c r="M49" s="11">
        <v>267.64</v>
      </c>
      <c r="N49" s="10"/>
      <c r="O49" s="12">
        <v>870</v>
      </c>
      <c r="P49" s="12">
        <v>1740</v>
      </c>
      <c r="Q49" s="12">
        <v>758</v>
      </c>
    </row>
    <row r="50" spans="1:17" hidden="1" x14ac:dyDescent="0.3">
      <c r="A50" s="8">
        <v>46059</v>
      </c>
      <c r="D50" s="11" t="s">
        <v>954</v>
      </c>
      <c r="E50" s="11" t="s">
        <v>955</v>
      </c>
      <c r="G50" s="11" t="s">
        <v>907</v>
      </c>
      <c r="H50" s="11">
        <v>1</v>
      </c>
      <c r="I50" s="11" t="s">
        <v>100</v>
      </c>
      <c r="J50" s="12">
        <v>5750</v>
      </c>
      <c r="K50" s="12">
        <v>5750</v>
      </c>
      <c r="L50" s="10"/>
      <c r="M50" s="10"/>
      <c r="N50" s="12">
        <v>5750</v>
      </c>
      <c r="O50" s="12">
        <v>3731.54</v>
      </c>
      <c r="P50" s="12">
        <v>3731.54</v>
      </c>
      <c r="Q50" s="12">
        <v>2018.46</v>
      </c>
    </row>
    <row r="51" spans="1:17" hidden="1" x14ac:dyDescent="0.3">
      <c r="A51" s="8">
        <v>46059</v>
      </c>
      <c r="D51" s="11" t="s">
        <v>956</v>
      </c>
      <c r="E51" s="11" t="s">
        <v>957</v>
      </c>
      <c r="G51" s="11" t="s">
        <v>921</v>
      </c>
      <c r="H51" s="11">
        <v>3</v>
      </c>
      <c r="I51" s="11" t="s">
        <v>86</v>
      </c>
      <c r="J51" s="12">
        <v>65000</v>
      </c>
      <c r="K51" s="12">
        <v>195000</v>
      </c>
      <c r="L51" s="15">
        <v>174107.14</v>
      </c>
      <c r="M51" s="15">
        <v>20892.86</v>
      </c>
      <c r="N51" s="11" t="s">
        <v>922</v>
      </c>
      <c r="O51" s="12">
        <v>31242.41</v>
      </c>
      <c r="P51" s="12">
        <v>93727.23</v>
      </c>
      <c r="Q51" s="12">
        <v>101272.77</v>
      </c>
    </row>
    <row r="52" spans="1:17" hidden="1" x14ac:dyDescent="0.3">
      <c r="A52" s="8">
        <v>46060</v>
      </c>
      <c r="D52" s="11" t="s">
        <v>71</v>
      </c>
      <c r="E52" s="11" t="s">
        <v>958</v>
      </c>
      <c r="G52" s="11" t="s">
        <v>370</v>
      </c>
      <c r="H52" s="11">
        <v>1</v>
      </c>
      <c r="I52" s="11" t="s">
        <v>74</v>
      </c>
      <c r="J52" s="12">
        <v>1310</v>
      </c>
      <c r="K52" s="12">
        <v>1310</v>
      </c>
      <c r="L52" s="15">
        <v>1308.8</v>
      </c>
      <c r="M52" s="11">
        <v>157.06</v>
      </c>
      <c r="N52" s="10"/>
      <c r="O52" s="12">
        <v>880</v>
      </c>
      <c r="P52" s="12">
        <v>880</v>
      </c>
      <c r="Q52" s="12">
        <v>430</v>
      </c>
    </row>
    <row r="53" spans="1:17" hidden="1" x14ac:dyDescent="0.3">
      <c r="A53" s="8">
        <v>46060</v>
      </c>
      <c r="D53" s="11" t="s">
        <v>71</v>
      </c>
      <c r="E53" s="11" t="s">
        <v>959</v>
      </c>
      <c r="G53" s="11" t="s">
        <v>907</v>
      </c>
      <c r="H53" s="11">
        <v>2</v>
      </c>
      <c r="I53" s="11" t="s">
        <v>77</v>
      </c>
      <c r="J53" s="12">
        <v>350</v>
      </c>
      <c r="K53" s="12">
        <v>700</v>
      </c>
      <c r="L53" s="10"/>
      <c r="M53" s="10"/>
      <c r="N53" s="12">
        <v>700</v>
      </c>
      <c r="O53" s="12">
        <v>178.37</v>
      </c>
      <c r="P53" s="12">
        <v>356.74</v>
      </c>
      <c r="Q53" s="12">
        <v>343.26</v>
      </c>
    </row>
    <row r="54" spans="1:17" hidden="1" x14ac:dyDescent="0.3">
      <c r="A54" s="8">
        <v>46060</v>
      </c>
      <c r="D54" s="11" t="s">
        <v>960</v>
      </c>
      <c r="E54" s="11" t="s">
        <v>227</v>
      </c>
      <c r="G54" s="11" t="s">
        <v>907</v>
      </c>
      <c r="H54" s="11">
        <v>1</v>
      </c>
      <c r="I54" s="11" t="s">
        <v>100</v>
      </c>
      <c r="J54" s="12">
        <v>5250</v>
      </c>
      <c r="K54" s="12">
        <v>5250</v>
      </c>
      <c r="L54" s="10"/>
      <c r="M54" s="10"/>
      <c r="N54" s="12">
        <v>5250</v>
      </c>
      <c r="O54" s="12">
        <v>3731.54</v>
      </c>
      <c r="P54" s="12">
        <v>3731.54</v>
      </c>
      <c r="Q54" s="12">
        <v>1518.46</v>
      </c>
    </row>
    <row r="55" spans="1:17" hidden="1" x14ac:dyDescent="0.3">
      <c r="A55" s="8">
        <v>46060</v>
      </c>
      <c r="D55" s="11" t="s">
        <v>71</v>
      </c>
      <c r="E55" s="11" t="s">
        <v>961</v>
      </c>
      <c r="G55" s="11" t="s">
        <v>628</v>
      </c>
      <c r="H55" s="11">
        <v>1</v>
      </c>
      <c r="I55" s="11" t="s">
        <v>74</v>
      </c>
      <c r="J55" s="12">
        <v>538</v>
      </c>
      <c r="K55" s="12">
        <v>538</v>
      </c>
      <c r="L55" s="10"/>
      <c r="M55" s="11">
        <v>536.79999999999995</v>
      </c>
      <c r="N55" s="11" t="s">
        <v>922</v>
      </c>
      <c r="O55" s="12">
        <v>313.04000000000002</v>
      </c>
      <c r="P55" s="12">
        <v>313.04000000000002</v>
      </c>
      <c r="Q55" s="12">
        <v>224.96</v>
      </c>
    </row>
    <row r="56" spans="1:17" hidden="1" x14ac:dyDescent="0.3">
      <c r="A56" s="8">
        <v>46061</v>
      </c>
      <c r="D56" s="11" t="s">
        <v>71</v>
      </c>
      <c r="E56" s="11" t="s">
        <v>962</v>
      </c>
      <c r="G56" s="11" t="s">
        <v>912</v>
      </c>
      <c r="H56" s="11">
        <v>5</v>
      </c>
      <c r="I56" s="11" t="s">
        <v>130</v>
      </c>
      <c r="J56" s="12">
        <v>150</v>
      </c>
      <c r="K56" s="12">
        <v>750</v>
      </c>
      <c r="L56" s="10"/>
      <c r="M56" s="11">
        <v>669.64</v>
      </c>
      <c r="N56" s="10"/>
      <c r="O56" s="12">
        <v>7.34</v>
      </c>
      <c r="P56" s="12">
        <v>36.71</v>
      </c>
      <c r="Q56" s="12">
        <v>713.29</v>
      </c>
    </row>
    <row r="57" spans="1:17" hidden="1" x14ac:dyDescent="0.3">
      <c r="A57" s="8">
        <v>46061</v>
      </c>
      <c r="D57" s="11" t="s">
        <v>71</v>
      </c>
      <c r="E57" s="11" t="s">
        <v>962</v>
      </c>
      <c r="G57" s="11" t="s">
        <v>940</v>
      </c>
      <c r="H57" s="11">
        <v>5</v>
      </c>
      <c r="I57" s="11" t="s">
        <v>234</v>
      </c>
      <c r="J57" s="12">
        <v>300</v>
      </c>
      <c r="K57" s="12">
        <v>1500</v>
      </c>
      <c r="L57" s="10"/>
      <c r="M57" s="15">
        <v>1339.29</v>
      </c>
      <c r="N57" s="10"/>
      <c r="O57" s="12">
        <v>84.68</v>
      </c>
      <c r="P57" s="12">
        <v>423.4</v>
      </c>
      <c r="Q57" s="12">
        <v>1076.5999999999999</v>
      </c>
    </row>
    <row r="58" spans="1:17" hidden="1" x14ac:dyDescent="0.3">
      <c r="A58" s="8">
        <v>46061</v>
      </c>
      <c r="D58" s="11" t="s">
        <v>71</v>
      </c>
      <c r="E58" s="11" t="s">
        <v>962</v>
      </c>
      <c r="G58" s="11" t="s">
        <v>907</v>
      </c>
      <c r="H58" s="11">
        <v>5</v>
      </c>
      <c r="I58" s="11" t="s">
        <v>77</v>
      </c>
      <c r="J58" s="12">
        <v>350</v>
      </c>
      <c r="K58" s="12">
        <v>1750</v>
      </c>
      <c r="L58" s="10"/>
      <c r="M58" s="10"/>
      <c r="N58" s="12">
        <v>1750</v>
      </c>
      <c r="O58" s="12">
        <v>172.5</v>
      </c>
      <c r="P58" s="12">
        <v>862.5</v>
      </c>
      <c r="Q58" s="12">
        <v>887.5</v>
      </c>
    </row>
    <row r="59" spans="1:17" hidden="1" x14ac:dyDescent="0.3">
      <c r="A59" s="8">
        <v>46061</v>
      </c>
      <c r="D59" s="11" t="s">
        <v>71</v>
      </c>
      <c r="E59" s="11" t="s">
        <v>963</v>
      </c>
      <c r="G59" s="11" t="s">
        <v>926</v>
      </c>
      <c r="H59" s="11">
        <v>2</v>
      </c>
      <c r="I59" s="11" t="s">
        <v>86</v>
      </c>
      <c r="J59" s="12">
        <v>500</v>
      </c>
      <c r="K59" s="12">
        <v>1000</v>
      </c>
      <c r="L59" s="11">
        <v>998.8</v>
      </c>
      <c r="M59" s="11">
        <v>119.86</v>
      </c>
      <c r="N59" s="10"/>
      <c r="O59" s="12">
        <v>56.43</v>
      </c>
      <c r="P59" s="12">
        <v>112.86</v>
      </c>
      <c r="Q59" s="12">
        <v>887.14</v>
      </c>
    </row>
    <row r="60" spans="1:17" hidden="1" x14ac:dyDescent="0.3">
      <c r="A60" s="8">
        <v>46062</v>
      </c>
      <c r="D60" s="11" t="s">
        <v>71</v>
      </c>
      <c r="E60" s="11" t="s">
        <v>964</v>
      </c>
      <c r="G60" s="11" t="s">
        <v>111</v>
      </c>
      <c r="H60" s="11">
        <v>1</v>
      </c>
      <c r="I60" s="11" t="s">
        <v>74</v>
      </c>
      <c r="J60" s="12">
        <v>1249</v>
      </c>
      <c r="K60" s="12">
        <v>1249</v>
      </c>
      <c r="L60" s="15">
        <v>1115.18</v>
      </c>
      <c r="M60" s="11">
        <v>133.82</v>
      </c>
      <c r="N60" s="10"/>
      <c r="O60" s="12">
        <v>870</v>
      </c>
      <c r="P60" s="12">
        <v>870</v>
      </c>
      <c r="Q60" s="12">
        <v>379</v>
      </c>
    </row>
    <row r="61" spans="1:17" hidden="1" x14ac:dyDescent="0.3">
      <c r="A61" s="8">
        <v>46062</v>
      </c>
      <c r="D61" s="11" t="s">
        <v>71</v>
      </c>
      <c r="E61" s="11" t="s">
        <v>965</v>
      </c>
      <c r="G61" s="11" t="s">
        <v>111</v>
      </c>
      <c r="H61" s="11">
        <v>1</v>
      </c>
      <c r="I61" s="11" t="s">
        <v>74</v>
      </c>
      <c r="J61" s="12">
        <v>1249</v>
      </c>
      <c r="K61" s="12">
        <v>1249</v>
      </c>
      <c r="L61" s="15">
        <v>1115.18</v>
      </c>
      <c r="M61" s="11">
        <v>133.82</v>
      </c>
      <c r="N61" s="10"/>
      <c r="O61" s="12">
        <v>870</v>
      </c>
      <c r="P61" s="12">
        <v>870</v>
      </c>
      <c r="Q61" s="12">
        <v>379</v>
      </c>
    </row>
    <row r="62" spans="1:17" hidden="1" x14ac:dyDescent="0.3">
      <c r="A62" s="8">
        <v>46063</v>
      </c>
      <c r="D62" s="11" t="s">
        <v>915</v>
      </c>
      <c r="E62" s="11" t="s">
        <v>966</v>
      </c>
      <c r="G62" s="11" t="s">
        <v>907</v>
      </c>
      <c r="H62" s="11">
        <v>3</v>
      </c>
      <c r="I62" s="11" t="s">
        <v>77</v>
      </c>
      <c r="J62" s="12">
        <v>350</v>
      </c>
      <c r="K62" s="12">
        <v>1050</v>
      </c>
      <c r="L62" s="10"/>
      <c r="M62" s="10"/>
      <c r="N62" s="12">
        <v>1050</v>
      </c>
      <c r="O62" s="12">
        <v>178.37</v>
      </c>
      <c r="P62" s="12">
        <v>535.1</v>
      </c>
      <c r="Q62" s="12">
        <v>514.9</v>
      </c>
    </row>
    <row r="63" spans="1:17" hidden="1" x14ac:dyDescent="0.3">
      <c r="A63" s="8">
        <v>46063</v>
      </c>
      <c r="D63" s="11" t="s">
        <v>967</v>
      </c>
      <c r="E63" s="11" t="s">
        <v>966</v>
      </c>
      <c r="G63" t="s">
        <v>924</v>
      </c>
      <c r="H63" s="11">
        <v>1</v>
      </c>
      <c r="I63" s="11" t="s">
        <v>86</v>
      </c>
      <c r="J63" s="12">
        <v>500</v>
      </c>
      <c r="K63" s="12">
        <v>500</v>
      </c>
      <c r="L63" s="11">
        <v>446.43</v>
      </c>
      <c r="M63" s="11">
        <v>53.57</v>
      </c>
      <c r="N63" s="10"/>
      <c r="O63" s="12">
        <v>179.76</v>
      </c>
      <c r="P63" s="12">
        <v>179.76</v>
      </c>
      <c r="Q63" s="12">
        <v>320.24</v>
      </c>
    </row>
    <row r="64" spans="1:17" hidden="1" x14ac:dyDescent="0.3">
      <c r="A64" s="8">
        <v>46063</v>
      </c>
      <c r="D64" s="11" t="s">
        <v>915</v>
      </c>
      <c r="E64" s="11" t="s">
        <v>968</v>
      </c>
      <c r="G64" s="11" t="s">
        <v>255</v>
      </c>
      <c r="H64" s="11">
        <v>1</v>
      </c>
      <c r="I64" s="11" t="s">
        <v>627</v>
      </c>
      <c r="J64" s="12">
        <v>350</v>
      </c>
      <c r="K64" s="12">
        <v>350</v>
      </c>
      <c r="L64" s="11">
        <v>312.5</v>
      </c>
      <c r="M64" s="11">
        <v>37.5</v>
      </c>
      <c r="N64" s="10"/>
      <c r="O64" s="12">
        <v>172.5</v>
      </c>
      <c r="P64" s="12">
        <v>172.5</v>
      </c>
      <c r="Q64" s="12">
        <v>177.5</v>
      </c>
    </row>
    <row r="65" spans="1:17" hidden="1" x14ac:dyDescent="0.3">
      <c r="A65" s="8">
        <v>46063</v>
      </c>
      <c r="D65" s="11" t="s">
        <v>915</v>
      </c>
      <c r="E65" s="11" t="s">
        <v>969</v>
      </c>
      <c r="G65" s="11" t="s">
        <v>907</v>
      </c>
      <c r="H65" s="11">
        <v>1</v>
      </c>
      <c r="I65" s="11" t="s">
        <v>100</v>
      </c>
      <c r="J65" s="12">
        <v>5250</v>
      </c>
      <c r="K65" s="12">
        <v>5250</v>
      </c>
      <c r="L65" s="10"/>
      <c r="M65" s="10"/>
      <c r="N65" s="12">
        <v>5250</v>
      </c>
      <c r="O65" s="12">
        <v>3731.54</v>
      </c>
      <c r="P65" s="12">
        <v>3731.54</v>
      </c>
      <c r="Q65" s="12">
        <v>1518.46</v>
      </c>
    </row>
    <row r="66" spans="1:17" hidden="1" x14ac:dyDescent="0.3">
      <c r="A66" s="8">
        <v>46063</v>
      </c>
      <c r="D66" s="11" t="s">
        <v>915</v>
      </c>
      <c r="E66" s="11" t="s">
        <v>969</v>
      </c>
      <c r="G66" s="11" t="s">
        <v>970</v>
      </c>
      <c r="H66" s="11">
        <v>1</v>
      </c>
      <c r="I66" s="11" t="s">
        <v>86</v>
      </c>
      <c r="J66" s="12">
        <v>4500</v>
      </c>
      <c r="K66" s="12">
        <v>4500</v>
      </c>
      <c r="L66" s="15">
        <v>4017.86</v>
      </c>
      <c r="M66" s="11">
        <v>482.14</v>
      </c>
      <c r="N66" s="10"/>
      <c r="O66" s="12">
        <v>1170.3</v>
      </c>
      <c r="P66" s="12">
        <v>1170.3</v>
      </c>
      <c r="Q66" s="12">
        <v>3329.7</v>
      </c>
    </row>
    <row r="67" spans="1:17" hidden="1" x14ac:dyDescent="0.3">
      <c r="A67" s="8">
        <v>46063</v>
      </c>
      <c r="D67" s="11" t="s">
        <v>71</v>
      </c>
      <c r="E67" s="11" t="s">
        <v>622</v>
      </c>
      <c r="G67" s="11" t="s">
        <v>219</v>
      </c>
      <c r="H67" s="11">
        <v>1</v>
      </c>
      <c r="I67" s="11" t="s">
        <v>627</v>
      </c>
      <c r="J67" s="12">
        <v>350</v>
      </c>
      <c r="K67" s="12">
        <v>350</v>
      </c>
      <c r="L67" s="11">
        <v>312.5</v>
      </c>
      <c r="M67" s="11">
        <v>37.5</v>
      </c>
      <c r="N67" s="10"/>
      <c r="O67" s="12">
        <v>172.5</v>
      </c>
      <c r="P67" s="12">
        <v>172.5</v>
      </c>
      <c r="Q67" s="12">
        <v>177.5</v>
      </c>
    </row>
    <row r="68" spans="1:17" hidden="1" x14ac:dyDescent="0.3">
      <c r="A68" s="8">
        <v>46063</v>
      </c>
      <c r="D68" s="11" t="s">
        <v>71</v>
      </c>
      <c r="E68" s="11" t="s">
        <v>935</v>
      </c>
      <c r="G68" s="11" t="s">
        <v>219</v>
      </c>
      <c r="H68" s="11">
        <v>1</v>
      </c>
      <c r="I68" s="11" t="s">
        <v>627</v>
      </c>
      <c r="J68" s="12">
        <v>350</v>
      </c>
      <c r="K68" s="12">
        <v>350</v>
      </c>
      <c r="L68" s="11">
        <v>312.5</v>
      </c>
      <c r="M68" s="11">
        <v>37.5</v>
      </c>
      <c r="N68" s="10"/>
      <c r="O68" s="12">
        <v>172.5</v>
      </c>
      <c r="P68" s="12">
        <v>172.5</v>
      </c>
      <c r="Q68" s="12">
        <v>177.5</v>
      </c>
    </row>
    <row r="69" spans="1:17" hidden="1" x14ac:dyDescent="0.3">
      <c r="A69" s="8">
        <v>46063</v>
      </c>
      <c r="D69" s="11" t="s">
        <v>915</v>
      </c>
      <c r="E69" s="11" t="s">
        <v>971</v>
      </c>
      <c r="G69" s="11" t="s">
        <v>542</v>
      </c>
      <c r="H69" s="11">
        <v>10</v>
      </c>
      <c r="I69" s="11" t="s">
        <v>188</v>
      </c>
      <c r="J69" s="12">
        <v>2000</v>
      </c>
      <c r="K69" s="12">
        <v>20000</v>
      </c>
      <c r="L69" s="15">
        <v>19998.8</v>
      </c>
      <c r="M69" s="15">
        <v>2399.86</v>
      </c>
      <c r="N69" s="10"/>
      <c r="O69" s="12">
        <v>1359.99</v>
      </c>
      <c r="P69" s="12">
        <v>13599.9</v>
      </c>
      <c r="Q69" s="12">
        <v>6400.1</v>
      </c>
    </row>
    <row r="70" spans="1:17" hidden="1" x14ac:dyDescent="0.3">
      <c r="A70" s="8">
        <v>46064</v>
      </c>
      <c r="D70" s="11" t="s">
        <v>71</v>
      </c>
      <c r="E70" s="11" t="s">
        <v>972</v>
      </c>
      <c r="G70" s="11" t="s">
        <v>973</v>
      </c>
      <c r="H70" s="11">
        <v>1</v>
      </c>
      <c r="I70" s="11" t="s">
        <v>74</v>
      </c>
      <c r="J70" s="12">
        <v>300</v>
      </c>
      <c r="K70" s="12">
        <v>300</v>
      </c>
      <c r="L70" s="11">
        <v>267.86</v>
      </c>
      <c r="M70" s="11">
        <v>32.14</v>
      </c>
      <c r="N70" s="10"/>
      <c r="O70" s="12">
        <v>39.200000000000003</v>
      </c>
      <c r="P70" s="12">
        <v>39.200000000000003</v>
      </c>
      <c r="Q70" s="12">
        <v>260.8</v>
      </c>
    </row>
    <row r="71" spans="1:17" hidden="1" x14ac:dyDescent="0.3">
      <c r="A71" s="9">
        <v>46064</v>
      </c>
      <c r="D71" s="13" t="s">
        <v>71</v>
      </c>
      <c r="E71" s="13" t="s">
        <v>972</v>
      </c>
      <c r="G71" s="11" t="s">
        <v>973</v>
      </c>
      <c r="H71" s="13">
        <v>1</v>
      </c>
      <c r="I71" s="13" t="s">
        <v>74</v>
      </c>
      <c r="J71" s="56">
        <v>300</v>
      </c>
      <c r="K71" s="56">
        <v>300</v>
      </c>
      <c r="L71" s="13">
        <v>267.86</v>
      </c>
      <c r="M71" s="13">
        <v>32.14</v>
      </c>
      <c r="N71" s="10"/>
      <c r="O71" s="56">
        <v>39.200000000000003</v>
      </c>
      <c r="P71" s="56">
        <v>39.200000000000003</v>
      </c>
      <c r="Q71" s="56">
        <v>260.8</v>
      </c>
    </row>
    <row r="72" spans="1:17" hidden="1" x14ac:dyDescent="0.3">
      <c r="A72" s="8">
        <v>46064</v>
      </c>
      <c r="D72" s="11" t="s">
        <v>71</v>
      </c>
      <c r="E72" s="11" t="s">
        <v>974</v>
      </c>
      <c r="G72" s="11" t="s">
        <v>907</v>
      </c>
      <c r="H72" s="11">
        <v>2</v>
      </c>
      <c r="I72" s="11" t="s">
        <v>77</v>
      </c>
      <c r="J72" s="12">
        <v>350</v>
      </c>
      <c r="K72" s="12">
        <v>700</v>
      </c>
      <c r="L72" s="10"/>
      <c r="M72" s="10"/>
      <c r="N72" s="12">
        <v>700</v>
      </c>
      <c r="O72" s="12">
        <v>178.37</v>
      </c>
      <c r="P72" s="12">
        <v>356.73</v>
      </c>
      <c r="Q72" s="12">
        <v>343.27</v>
      </c>
    </row>
    <row r="73" spans="1:17" hidden="1" x14ac:dyDescent="0.3">
      <c r="A73" s="8">
        <v>46064</v>
      </c>
      <c r="D73" s="11" t="s">
        <v>71</v>
      </c>
      <c r="E73" s="11" t="s">
        <v>974</v>
      </c>
      <c r="G73" s="11" t="s">
        <v>973</v>
      </c>
      <c r="H73" s="11">
        <v>2</v>
      </c>
      <c r="I73" s="11" t="s">
        <v>74</v>
      </c>
      <c r="J73" s="12">
        <v>300</v>
      </c>
      <c r="K73" s="12">
        <v>600</v>
      </c>
      <c r="L73" s="11">
        <v>535.71</v>
      </c>
      <c r="M73" s="11">
        <v>64.290000000000006</v>
      </c>
      <c r="N73" s="10"/>
      <c r="O73" s="12">
        <v>39.200000000000003</v>
      </c>
      <c r="P73" s="12">
        <v>78.400000000000006</v>
      </c>
      <c r="Q73" s="12">
        <v>521.6</v>
      </c>
    </row>
    <row r="74" spans="1:17" hidden="1" x14ac:dyDescent="0.3">
      <c r="A74" s="8">
        <v>46064</v>
      </c>
      <c r="D74" s="11" t="s">
        <v>71</v>
      </c>
      <c r="E74" s="11" t="s">
        <v>974</v>
      </c>
      <c r="G74" t="s">
        <v>975</v>
      </c>
      <c r="H74" s="11">
        <v>1</v>
      </c>
      <c r="I74" s="11" t="s">
        <v>268</v>
      </c>
      <c r="J74" s="12">
        <v>150</v>
      </c>
      <c r="K74" s="12">
        <v>150</v>
      </c>
      <c r="L74" s="11">
        <v>133.93</v>
      </c>
      <c r="M74" s="11">
        <v>16.07</v>
      </c>
      <c r="N74" s="10"/>
      <c r="O74" s="12">
        <v>7.28</v>
      </c>
      <c r="P74" s="12">
        <v>7.28</v>
      </c>
      <c r="Q74" s="12">
        <v>142.72</v>
      </c>
    </row>
    <row r="75" spans="1:17" hidden="1" x14ac:dyDescent="0.3">
      <c r="A75" s="8">
        <v>46064</v>
      </c>
      <c r="D75" s="11" t="s">
        <v>89</v>
      </c>
      <c r="E75" s="11" t="s">
        <v>976</v>
      </c>
      <c r="G75" s="11" t="s">
        <v>907</v>
      </c>
      <c r="H75" s="11">
        <v>1</v>
      </c>
      <c r="I75" s="11" t="s">
        <v>100</v>
      </c>
      <c r="J75" s="12">
        <v>5500</v>
      </c>
      <c r="K75" s="12">
        <v>5500</v>
      </c>
      <c r="L75" s="10"/>
      <c r="M75" s="10"/>
      <c r="N75" s="12">
        <v>5500</v>
      </c>
      <c r="O75" s="12">
        <v>3731.54</v>
      </c>
      <c r="P75" s="12">
        <v>3731.54</v>
      </c>
      <c r="Q75" s="12">
        <v>1768.46</v>
      </c>
    </row>
    <row r="76" spans="1:17" hidden="1" x14ac:dyDescent="0.3">
      <c r="A76" s="8">
        <v>46064</v>
      </c>
      <c r="D76" s="11" t="s">
        <v>89</v>
      </c>
      <c r="E76" s="11" t="s">
        <v>976</v>
      </c>
      <c r="G76" t="s">
        <v>977</v>
      </c>
      <c r="H76" s="11">
        <v>1</v>
      </c>
      <c r="I76" s="11" t="s">
        <v>268</v>
      </c>
      <c r="J76" s="12">
        <v>3500</v>
      </c>
      <c r="K76" s="12">
        <v>3500</v>
      </c>
      <c r="L76" s="15">
        <v>3125</v>
      </c>
      <c r="M76" s="11">
        <v>375</v>
      </c>
      <c r="N76" s="10"/>
      <c r="O76" s="12">
        <v>314.48</v>
      </c>
      <c r="P76" s="12">
        <v>314.48</v>
      </c>
      <c r="Q76" s="12">
        <v>3185.52</v>
      </c>
    </row>
    <row r="77" spans="1:17" hidden="1" x14ac:dyDescent="0.3">
      <c r="A77" s="8">
        <v>46065</v>
      </c>
      <c r="D77" s="11" t="s">
        <v>978</v>
      </c>
      <c r="E77" s="11" t="s">
        <v>979</v>
      </c>
      <c r="G77" s="11" t="s">
        <v>899</v>
      </c>
      <c r="H77" s="11">
        <v>3</v>
      </c>
      <c r="I77" s="11" t="s">
        <v>86</v>
      </c>
      <c r="J77" s="12">
        <v>500</v>
      </c>
      <c r="K77" s="12">
        <v>1500</v>
      </c>
      <c r="L77" s="15">
        <v>1339.29</v>
      </c>
      <c r="M77" s="11">
        <v>160.71</v>
      </c>
      <c r="N77" s="10"/>
      <c r="O77" s="12">
        <v>218.56</v>
      </c>
      <c r="P77" s="12">
        <v>655.68</v>
      </c>
      <c r="Q77" s="12">
        <v>844.32</v>
      </c>
    </row>
    <row r="78" spans="1:17" hidden="1" x14ac:dyDescent="0.3">
      <c r="A78" s="8">
        <v>46065</v>
      </c>
      <c r="D78" s="11" t="s">
        <v>978</v>
      </c>
      <c r="E78" s="11" t="s">
        <v>979</v>
      </c>
      <c r="G78" s="11" t="s">
        <v>980</v>
      </c>
      <c r="H78" s="11">
        <v>12</v>
      </c>
      <c r="I78" s="11" t="s">
        <v>130</v>
      </c>
      <c r="J78" s="12">
        <v>60</v>
      </c>
      <c r="K78" s="12">
        <v>720</v>
      </c>
      <c r="L78" s="11">
        <v>718.8</v>
      </c>
      <c r="M78" s="11">
        <v>86.26</v>
      </c>
      <c r="N78" s="11" t="s">
        <v>922</v>
      </c>
      <c r="O78" s="12">
        <v>20.97</v>
      </c>
      <c r="P78" s="12">
        <v>251.64</v>
      </c>
      <c r="Q78" s="12">
        <v>468.36</v>
      </c>
    </row>
    <row r="79" spans="1:17" hidden="1" x14ac:dyDescent="0.3">
      <c r="A79" s="8">
        <v>46065</v>
      </c>
      <c r="D79" s="11" t="s">
        <v>978</v>
      </c>
      <c r="E79" s="11" t="s">
        <v>979</v>
      </c>
      <c r="G79" t="s">
        <v>981</v>
      </c>
      <c r="H79" s="11">
        <v>1</v>
      </c>
      <c r="I79" s="11" t="s">
        <v>268</v>
      </c>
      <c r="J79" s="12">
        <v>1000</v>
      </c>
      <c r="K79" s="12">
        <v>1000</v>
      </c>
      <c r="L79" s="11">
        <v>998.8</v>
      </c>
      <c r="M79" s="11">
        <v>119.86</v>
      </c>
      <c r="N79" s="11" t="s">
        <v>922</v>
      </c>
      <c r="O79" s="12">
        <v>43.5</v>
      </c>
      <c r="P79" s="12">
        <v>43.5</v>
      </c>
      <c r="Q79" s="12">
        <v>956.5</v>
      </c>
    </row>
    <row r="80" spans="1:17" x14ac:dyDescent="0.3">
      <c r="A80" s="8">
        <v>46065</v>
      </c>
      <c r="D80" s="11" t="s">
        <v>978</v>
      </c>
      <c r="E80" s="11" t="s">
        <v>979</v>
      </c>
      <c r="G80" s="11" t="s">
        <v>933</v>
      </c>
      <c r="H80" s="11">
        <v>1</v>
      </c>
      <c r="I80" s="11" t="s">
        <v>183</v>
      </c>
      <c r="J80" s="12">
        <v>245</v>
      </c>
      <c r="K80" s="12">
        <v>245</v>
      </c>
      <c r="L80" s="11">
        <v>218.75</v>
      </c>
      <c r="M80" s="11">
        <v>26.25</v>
      </c>
      <c r="N80" s="10"/>
      <c r="O80" s="10"/>
      <c r="P80" s="11" t="s">
        <v>922</v>
      </c>
      <c r="Q80" s="12">
        <v>245</v>
      </c>
    </row>
    <row r="81" spans="1:17" hidden="1" x14ac:dyDescent="0.3">
      <c r="A81" s="8">
        <v>46066</v>
      </c>
      <c r="D81" s="11" t="s">
        <v>71</v>
      </c>
      <c r="E81" s="11" t="s">
        <v>982</v>
      </c>
      <c r="G81" s="11" t="s">
        <v>625</v>
      </c>
      <c r="H81" s="11">
        <v>1</v>
      </c>
      <c r="I81" s="11" t="s">
        <v>626</v>
      </c>
      <c r="J81" s="12">
        <v>3224</v>
      </c>
      <c r="K81" s="12">
        <v>3224</v>
      </c>
      <c r="L81" s="15">
        <v>2878.57</v>
      </c>
      <c r="M81" s="11">
        <v>690.86</v>
      </c>
      <c r="N81" s="10"/>
      <c r="O81" s="12">
        <v>2110</v>
      </c>
      <c r="P81" s="12">
        <v>2110</v>
      </c>
      <c r="Q81" s="12">
        <v>1114</v>
      </c>
    </row>
    <row r="82" spans="1:17" hidden="1" x14ac:dyDescent="0.3">
      <c r="A82" s="8">
        <v>46066</v>
      </c>
      <c r="D82" s="11" t="s">
        <v>71</v>
      </c>
      <c r="E82" s="11" t="s">
        <v>983</v>
      </c>
      <c r="G82" s="11" t="s">
        <v>907</v>
      </c>
      <c r="H82" s="11">
        <v>3</v>
      </c>
      <c r="I82" s="11" t="s">
        <v>77</v>
      </c>
      <c r="J82" s="12">
        <v>350</v>
      </c>
      <c r="K82" s="12">
        <v>1050</v>
      </c>
      <c r="L82" s="10"/>
      <c r="M82" s="10"/>
      <c r="N82" s="12">
        <v>1050</v>
      </c>
      <c r="O82" s="12">
        <v>178.37</v>
      </c>
      <c r="P82" s="12">
        <v>535.1</v>
      </c>
      <c r="Q82" s="12">
        <v>514.9</v>
      </c>
    </row>
    <row r="83" spans="1:17" hidden="1" x14ac:dyDescent="0.3">
      <c r="A83" s="8">
        <v>46066</v>
      </c>
      <c r="D83" s="11" t="s">
        <v>71</v>
      </c>
      <c r="E83" s="11" t="s">
        <v>984</v>
      </c>
      <c r="G83" s="11" t="s">
        <v>73</v>
      </c>
      <c r="H83" s="11">
        <v>1</v>
      </c>
      <c r="I83" s="11" t="s">
        <v>74</v>
      </c>
      <c r="J83" s="12">
        <v>690</v>
      </c>
      <c r="K83" s="12">
        <v>690</v>
      </c>
      <c r="L83" s="11">
        <v>616.07000000000005</v>
      </c>
      <c r="M83" s="11">
        <v>73.930000000000007</v>
      </c>
      <c r="N83" s="10"/>
      <c r="O83" s="12">
        <v>395.83</v>
      </c>
      <c r="P83" s="12">
        <v>395.83</v>
      </c>
      <c r="Q83" s="12">
        <v>294.17</v>
      </c>
    </row>
    <row r="84" spans="1:17" hidden="1" x14ac:dyDescent="0.3">
      <c r="A84" s="8">
        <v>46066</v>
      </c>
      <c r="D84" s="11" t="s">
        <v>71</v>
      </c>
      <c r="E84" s="11" t="s">
        <v>985</v>
      </c>
      <c r="G84" s="11" t="s">
        <v>907</v>
      </c>
      <c r="H84" s="11">
        <v>1</v>
      </c>
      <c r="I84" s="11" t="s">
        <v>100</v>
      </c>
      <c r="J84" s="12">
        <v>6100</v>
      </c>
      <c r="K84" s="12">
        <v>6100</v>
      </c>
      <c r="L84" s="10"/>
      <c r="M84" s="10"/>
      <c r="N84" s="12">
        <v>6100</v>
      </c>
      <c r="O84" s="12">
        <v>3731.54</v>
      </c>
      <c r="P84" s="12">
        <v>3731.54</v>
      </c>
      <c r="Q84" s="12">
        <v>2368.46</v>
      </c>
    </row>
    <row r="85" spans="1:17" hidden="1" x14ac:dyDescent="0.3">
      <c r="A85" s="8">
        <v>46066</v>
      </c>
      <c r="D85" s="11" t="s">
        <v>89</v>
      </c>
      <c r="E85" s="11" t="s">
        <v>914</v>
      </c>
      <c r="G85" s="11" t="s">
        <v>907</v>
      </c>
      <c r="H85" s="11">
        <v>1</v>
      </c>
      <c r="I85" s="11" t="s">
        <v>100</v>
      </c>
      <c r="J85" s="12">
        <v>5500</v>
      </c>
      <c r="K85" s="12">
        <v>5500</v>
      </c>
      <c r="L85" s="10"/>
      <c r="M85" s="10"/>
      <c r="N85" s="12">
        <v>5500</v>
      </c>
      <c r="O85" s="12">
        <v>3731.54</v>
      </c>
      <c r="P85" s="12">
        <v>3731.54</v>
      </c>
      <c r="Q85" s="12">
        <v>1768.46</v>
      </c>
    </row>
    <row r="86" spans="1:17" hidden="1" x14ac:dyDescent="0.3">
      <c r="A86" s="8">
        <v>46066</v>
      </c>
      <c r="D86" s="11" t="s">
        <v>71</v>
      </c>
      <c r="E86" s="11" t="s">
        <v>986</v>
      </c>
      <c r="G86" s="11" t="s">
        <v>907</v>
      </c>
      <c r="H86" s="11">
        <v>1</v>
      </c>
      <c r="I86" s="11" t="s">
        <v>100</v>
      </c>
      <c r="J86" s="12">
        <v>6100</v>
      </c>
      <c r="K86" s="12">
        <v>6100</v>
      </c>
      <c r="L86" s="10"/>
      <c r="M86" s="10"/>
      <c r="N86" s="12">
        <v>6100</v>
      </c>
      <c r="O86" s="12">
        <v>3731.54</v>
      </c>
      <c r="P86" s="12">
        <v>3731.54</v>
      </c>
      <c r="Q86" s="12">
        <v>2368.46</v>
      </c>
    </row>
    <row r="87" spans="1:17" hidden="1" x14ac:dyDescent="0.3">
      <c r="A87" s="8">
        <v>46066</v>
      </c>
      <c r="D87" s="11" t="s">
        <v>71</v>
      </c>
      <c r="E87" s="11" t="s">
        <v>987</v>
      </c>
      <c r="G87" s="11" t="s">
        <v>73</v>
      </c>
      <c r="H87" s="11">
        <v>4</v>
      </c>
      <c r="I87" s="11" t="s">
        <v>74</v>
      </c>
      <c r="J87" s="12">
        <v>690</v>
      </c>
      <c r="K87" s="12">
        <v>2760</v>
      </c>
      <c r="L87" s="15">
        <v>2464.29</v>
      </c>
      <c r="M87" s="11">
        <v>295.70999999999998</v>
      </c>
      <c r="N87" s="10"/>
      <c r="O87" s="12">
        <v>395.83</v>
      </c>
      <c r="P87" s="12">
        <v>1583.32</v>
      </c>
      <c r="Q87" s="12">
        <v>1176.68</v>
      </c>
    </row>
    <row r="88" spans="1:17" hidden="1" x14ac:dyDescent="0.3">
      <c r="A88" s="8">
        <v>46066</v>
      </c>
      <c r="D88" s="11" t="s">
        <v>71</v>
      </c>
      <c r="E88" s="11" t="s">
        <v>988</v>
      </c>
      <c r="G88" s="11" t="s">
        <v>625</v>
      </c>
      <c r="H88" s="11">
        <v>1</v>
      </c>
      <c r="I88" s="11" t="s">
        <v>626</v>
      </c>
      <c r="J88" s="12">
        <v>3224</v>
      </c>
      <c r="K88" s="12">
        <v>3224</v>
      </c>
      <c r="L88" s="15">
        <v>2878.57</v>
      </c>
      <c r="M88" s="11">
        <v>690.86</v>
      </c>
      <c r="N88" s="10"/>
      <c r="O88" s="12">
        <v>2110</v>
      </c>
      <c r="P88" s="12">
        <v>2110</v>
      </c>
      <c r="Q88" s="12">
        <v>1114</v>
      </c>
    </row>
    <row r="89" spans="1:17" hidden="1" x14ac:dyDescent="0.3">
      <c r="A89" s="8">
        <v>46066</v>
      </c>
      <c r="D89" s="11" t="s">
        <v>71</v>
      </c>
      <c r="E89" s="11" t="s">
        <v>989</v>
      </c>
      <c r="G89" s="11" t="s">
        <v>907</v>
      </c>
      <c r="H89" s="11">
        <v>1</v>
      </c>
      <c r="I89" s="11" t="s">
        <v>77</v>
      </c>
      <c r="J89" s="12">
        <v>350</v>
      </c>
      <c r="K89" s="12">
        <v>350</v>
      </c>
      <c r="L89" s="10"/>
      <c r="M89" s="10"/>
      <c r="N89" s="12">
        <v>350</v>
      </c>
      <c r="O89" s="12">
        <v>178.37</v>
      </c>
      <c r="P89" s="12">
        <v>178.37</v>
      </c>
      <c r="Q89" s="12">
        <v>171.63</v>
      </c>
    </row>
    <row r="90" spans="1:17" hidden="1" x14ac:dyDescent="0.3">
      <c r="A90" s="8">
        <v>46067</v>
      </c>
      <c r="D90" s="10"/>
      <c r="E90" s="11" t="s">
        <v>990</v>
      </c>
      <c r="G90" s="11" t="s">
        <v>907</v>
      </c>
      <c r="H90" s="11">
        <v>64</v>
      </c>
      <c r="I90" s="11" t="s">
        <v>77</v>
      </c>
      <c r="J90" s="12">
        <v>234.38</v>
      </c>
      <c r="K90" s="12">
        <v>15000</v>
      </c>
      <c r="L90" s="10"/>
      <c r="M90" s="10"/>
      <c r="N90" s="12">
        <v>15000</v>
      </c>
      <c r="O90" s="12">
        <v>178.37</v>
      </c>
      <c r="P90" s="12">
        <v>11415.46</v>
      </c>
      <c r="Q90" s="12">
        <v>3584.54</v>
      </c>
    </row>
    <row r="91" spans="1:17" hidden="1" x14ac:dyDescent="0.3">
      <c r="A91" s="8">
        <v>46067</v>
      </c>
      <c r="D91" s="11" t="s">
        <v>71</v>
      </c>
      <c r="E91" s="11" t="s">
        <v>991</v>
      </c>
      <c r="G91" s="11" t="s">
        <v>907</v>
      </c>
      <c r="H91" s="11">
        <v>1</v>
      </c>
      <c r="I91" s="11" t="s">
        <v>100</v>
      </c>
      <c r="J91" s="12">
        <v>6100</v>
      </c>
      <c r="K91" s="12">
        <v>6100</v>
      </c>
      <c r="L91" s="10"/>
      <c r="M91" s="10"/>
      <c r="N91" s="12">
        <v>6100</v>
      </c>
      <c r="O91" s="12">
        <v>3731.54</v>
      </c>
      <c r="P91" s="12">
        <v>3731.54</v>
      </c>
      <c r="Q91" s="12">
        <v>2368.46</v>
      </c>
    </row>
    <row r="92" spans="1:17" hidden="1" x14ac:dyDescent="0.3">
      <c r="A92" s="8">
        <v>46068</v>
      </c>
      <c r="D92" s="11" t="s">
        <v>71</v>
      </c>
      <c r="E92" s="11" t="s">
        <v>992</v>
      </c>
      <c r="G92" s="11" t="s">
        <v>907</v>
      </c>
      <c r="H92" s="11">
        <v>1</v>
      </c>
      <c r="I92" s="11" t="s">
        <v>77</v>
      </c>
      <c r="J92" s="12">
        <v>350</v>
      </c>
      <c r="K92" s="12">
        <v>350</v>
      </c>
      <c r="L92" s="10"/>
      <c r="M92" s="10"/>
      <c r="N92" s="12">
        <v>350</v>
      </c>
      <c r="O92" s="12">
        <v>178.37</v>
      </c>
      <c r="P92" s="12">
        <v>178.37</v>
      </c>
      <c r="Q92" s="12">
        <v>171.63</v>
      </c>
    </row>
    <row r="93" spans="1:17" hidden="1" x14ac:dyDescent="0.3">
      <c r="A93" s="8">
        <v>46068</v>
      </c>
      <c r="D93" s="11" t="s">
        <v>71</v>
      </c>
      <c r="E93" s="11" t="s">
        <v>993</v>
      </c>
      <c r="G93" s="11" t="s">
        <v>907</v>
      </c>
      <c r="H93" s="11">
        <v>3</v>
      </c>
      <c r="I93" s="11" t="s">
        <v>77</v>
      </c>
      <c r="J93" s="12">
        <v>350</v>
      </c>
      <c r="K93" s="12">
        <v>1050</v>
      </c>
      <c r="L93" s="10"/>
      <c r="M93" s="10"/>
      <c r="N93" s="12">
        <v>1050</v>
      </c>
      <c r="O93" s="12">
        <v>178.37</v>
      </c>
      <c r="P93" s="12">
        <v>535.1</v>
      </c>
      <c r="Q93" s="12">
        <v>514.9</v>
      </c>
    </row>
    <row r="94" spans="1:17" hidden="1" x14ac:dyDescent="0.3">
      <c r="A94" s="8">
        <v>46068</v>
      </c>
      <c r="D94" s="11" t="s">
        <v>71</v>
      </c>
      <c r="E94" s="11" t="s">
        <v>994</v>
      </c>
      <c r="G94" s="11" t="s">
        <v>73</v>
      </c>
      <c r="H94" s="11">
        <v>1</v>
      </c>
      <c r="I94" s="11" t="s">
        <v>74</v>
      </c>
      <c r="J94" s="12">
        <v>690</v>
      </c>
      <c r="K94" s="12">
        <v>690</v>
      </c>
      <c r="L94" s="11">
        <v>616.07000000000005</v>
      </c>
      <c r="M94" s="11">
        <v>73.930000000000007</v>
      </c>
      <c r="N94" s="10"/>
      <c r="O94" s="12">
        <v>395.83</v>
      </c>
      <c r="P94" s="12">
        <v>395.83</v>
      </c>
      <c r="Q94" s="12">
        <v>294.17</v>
      </c>
    </row>
    <row r="95" spans="1:17" hidden="1" x14ac:dyDescent="0.3">
      <c r="A95" s="8">
        <v>46068</v>
      </c>
      <c r="D95" s="11" t="s">
        <v>915</v>
      </c>
      <c r="E95" s="11" t="s">
        <v>250</v>
      </c>
      <c r="G95" s="11" t="s">
        <v>907</v>
      </c>
      <c r="H95" s="11">
        <v>32</v>
      </c>
      <c r="I95" s="11" t="s">
        <v>77</v>
      </c>
      <c r="J95" s="12">
        <v>240</v>
      </c>
      <c r="K95" s="12">
        <v>7680</v>
      </c>
      <c r="L95" s="10"/>
      <c r="M95" s="10"/>
      <c r="N95" s="12">
        <v>7680</v>
      </c>
      <c r="O95" s="12">
        <v>178.37</v>
      </c>
      <c r="P95" s="12">
        <v>5707.84</v>
      </c>
      <c r="Q95" s="12">
        <v>1972.16</v>
      </c>
    </row>
    <row r="96" spans="1:17" hidden="1" x14ac:dyDescent="0.3">
      <c r="A96" s="8">
        <v>46068</v>
      </c>
      <c r="D96" s="11" t="s">
        <v>915</v>
      </c>
      <c r="E96" s="11" t="s">
        <v>250</v>
      </c>
      <c r="G96" s="11" t="s">
        <v>973</v>
      </c>
      <c r="H96" s="11">
        <v>2</v>
      </c>
      <c r="I96" s="11" t="s">
        <v>74</v>
      </c>
      <c r="J96" s="11" t="s">
        <v>922</v>
      </c>
      <c r="K96" s="11" t="s">
        <v>922</v>
      </c>
      <c r="L96" s="11" t="s">
        <v>189</v>
      </c>
      <c r="M96" s="11" t="s">
        <v>189</v>
      </c>
      <c r="N96" s="10"/>
      <c r="O96" s="12">
        <v>39.200000000000003</v>
      </c>
      <c r="P96" s="12">
        <v>78.400000000000006</v>
      </c>
      <c r="Q96" s="12">
        <v>-78.400000000000006</v>
      </c>
    </row>
    <row r="97" spans="1:17" hidden="1" x14ac:dyDescent="0.3">
      <c r="A97" s="8">
        <v>46069</v>
      </c>
      <c r="D97" s="11" t="s">
        <v>995</v>
      </c>
      <c r="E97" s="11" t="s">
        <v>996</v>
      </c>
      <c r="G97" s="11" t="s">
        <v>907</v>
      </c>
      <c r="H97" s="11">
        <v>3</v>
      </c>
      <c r="I97" s="11" t="s">
        <v>91</v>
      </c>
      <c r="J97" s="12">
        <v>5500</v>
      </c>
      <c r="K97" s="12">
        <v>16500</v>
      </c>
      <c r="L97" s="10"/>
      <c r="M97" s="10"/>
      <c r="N97" s="12">
        <v>16500</v>
      </c>
      <c r="O97" s="12">
        <v>3731.54</v>
      </c>
      <c r="P97" s="12">
        <v>11194.62</v>
      </c>
      <c r="Q97" s="12">
        <v>5305.38</v>
      </c>
    </row>
    <row r="98" spans="1:17" x14ac:dyDescent="0.3">
      <c r="A98" s="8">
        <v>46069</v>
      </c>
      <c r="D98" s="11" t="s">
        <v>995</v>
      </c>
      <c r="E98" s="11" t="s">
        <v>996</v>
      </c>
      <c r="G98" s="11" t="s">
        <v>933</v>
      </c>
      <c r="H98" s="11">
        <v>1</v>
      </c>
      <c r="I98" s="11" t="s">
        <v>183</v>
      </c>
      <c r="J98" s="12">
        <v>1520</v>
      </c>
      <c r="K98" s="12">
        <v>1520</v>
      </c>
      <c r="L98" s="10"/>
      <c r="M98" s="10"/>
      <c r="N98" s="12">
        <v>1520</v>
      </c>
      <c r="O98" s="11" t="s">
        <v>922</v>
      </c>
      <c r="P98" s="11" t="s">
        <v>922</v>
      </c>
      <c r="Q98" s="12">
        <v>1520</v>
      </c>
    </row>
    <row r="99" spans="1:17" hidden="1" x14ac:dyDescent="0.3">
      <c r="A99" s="8">
        <v>46069</v>
      </c>
      <c r="D99" s="10"/>
      <c r="E99" s="11" t="s">
        <v>990</v>
      </c>
      <c r="G99" s="11" t="s">
        <v>907</v>
      </c>
      <c r="H99" s="11">
        <v>64</v>
      </c>
      <c r="I99" s="11" t="s">
        <v>77</v>
      </c>
      <c r="J99" s="12">
        <v>234.38</v>
      </c>
      <c r="K99" s="12">
        <v>15000</v>
      </c>
      <c r="L99" s="10"/>
      <c r="M99" s="10"/>
      <c r="N99" s="12">
        <v>15000</v>
      </c>
      <c r="O99" s="12">
        <v>178.37</v>
      </c>
      <c r="P99" s="12">
        <v>11415.46</v>
      </c>
      <c r="Q99" s="12">
        <v>3584.54</v>
      </c>
    </row>
    <row r="100" spans="1:17" hidden="1" x14ac:dyDescent="0.3">
      <c r="A100" s="8">
        <v>46069</v>
      </c>
      <c r="D100" s="11" t="s">
        <v>71</v>
      </c>
      <c r="E100" s="11" t="s">
        <v>997</v>
      </c>
      <c r="G100" s="11" t="s">
        <v>625</v>
      </c>
      <c r="H100" s="11">
        <v>1</v>
      </c>
      <c r="I100" s="11" t="s">
        <v>626</v>
      </c>
      <c r="J100" s="12">
        <v>3224</v>
      </c>
      <c r="K100" s="12">
        <v>3224</v>
      </c>
      <c r="L100" s="15">
        <v>2878.57</v>
      </c>
      <c r="M100" s="11">
        <v>690.86</v>
      </c>
      <c r="N100" s="10"/>
      <c r="O100" s="12">
        <v>2110</v>
      </c>
      <c r="P100" s="12">
        <v>2110</v>
      </c>
      <c r="Q100" s="12">
        <v>1114</v>
      </c>
    </row>
    <row r="101" spans="1:17" hidden="1" x14ac:dyDescent="0.3">
      <c r="A101" s="8">
        <v>46069</v>
      </c>
      <c r="D101" s="11" t="s">
        <v>71</v>
      </c>
      <c r="E101" s="11" t="s">
        <v>998</v>
      </c>
      <c r="G101" s="11" t="s">
        <v>907</v>
      </c>
      <c r="H101" s="11">
        <v>1</v>
      </c>
      <c r="I101" s="11" t="s">
        <v>77</v>
      </c>
      <c r="J101" s="12">
        <v>350</v>
      </c>
      <c r="K101" s="12">
        <v>350</v>
      </c>
      <c r="L101" s="10"/>
      <c r="M101" s="10"/>
      <c r="N101" s="12">
        <v>350</v>
      </c>
      <c r="O101" s="12">
        <v>178.37</v>
      </c>
      <c r="P101" s="12">
        <v>178.37</v>
      </c>
      <c r="Q101" s="12">
        <v>171.63</v>
      </c>
    </row>
    <row r="102" spans="1:17" hidden="1" x14ac:dyDescent="0.3">
      <c r="A102" s="8">
        <v>46069</v>
      </c>
      <c r="D102" s="11" t="s">
        <v>71</v>
      </c>
      <c r="E102" s="11" t="s">
        <v>999</v>
      </c>
      <c r="G102" s="11" t="s">
        <v>625</v>
      </c>
      <c r="H102" s="11">
        <v>1</v>
      </c>
      <c r="I102" s="11" t="s">
        <v>626</v>
      </c>
      <c r="J102" s="12">
        <v>3224</v>
      </c>
      <c r="K102" s="12">
        <v>3224</v>
      </c>
      <c r="L102" s="15">
        <v>2878.57</v>
      </c>
      <c r="M102" s="11">
        <v>690.86</v>
      </c>
      <c r="N102" s="10"/>
      <c r="O102" s="12">
        <v>2110</v>
      </c>
      <c r="P102" s="12">
        <v>2110</v>
      </c>
      <c r="Q102" s="12">
        <v>1114</v>
      </c>
    </row>
    <row r="103" spans="1:17" hidden="1" x14ac:dyDescent="0.3">
      <c r="A103" s="8">
        <v>46069</v>
      </c>
      <c r="D103" s="11" t="s">
        <v>71</v>
      </c>
      <c r="E103" s="11" t="s">
        <v>1000</v>
      </c>
      <c r="G103" s="11" t="s">
        <v>940</v>
      </c>
      <c r="H103" s="11">
        <v>4</v>
      </c>
      <c r="I103" s="11" t="s">
        <v>234</v>
      </c>
      <c r="J103" s="12">
        <v>300</v>
      </c>
      <c r="K103" s="12">
        <v>1200</v>
      </c>
      <c r="L103" s="15">
        <v>1071.43</v>
      </c>
      <c r="M103" s="11">
        <v>128.57</v>
      </c>
      <c r="N103" s="10"/>
      <c r="O103" s="12">
        <v>84.68</v>
      </c>
      <c r="P103" s="12">
        <v>338.72</v>
      </c>
      <c r="Q103" s="12">
        <v>861.28</v>
      </c>
    </row>
    <row r="104" spans="1:17" hidden="1" x14ac:dyDescent="0.3">
      <c r="A104" s="8">
        <v>46070</v>
      </c>
      <c r="D104" s="11" t="s">
        <v>71</v>
      </c>
      <c r="E104" s="11" t="s">
        <v>1001</v>
      </c>
      <c r="G104" s="11" t="s">
        <v>907</v>
      </c>
      <c r="H104" s="11">
        <v>1</v>
      </c>
      <c r="I104" s="11" t="s">
        <v>100</v>
      </c>
      <c r="J104" s="12">
        <v>6100</v>
      </c>
      <c r="K104" s="12">
        <v>6100</v>
      </c>
      <c r="L104" s="10"/>
      <c r="M104" s="10"/>
      <c r="N104" s="12">
        <v>6100</v>
      </c>
      <c r="O104" s="12">
        <v>3731.54</v>
      </c>
      <c r="P104" s="12">
        <v>3731.54</v>
      </c>
      <c r="Q104" s="12">
        <v>2368.46</v>
      </c>
    </row>
    <row r="105" spans="1:17" hidden="1" x14ac:dyDescent="0.3">
      <c r="A105" s="8">
        <v>46070</v>
      </c>
      <c r="D105" s="11" t="s">
        <v>71</v>
      </c>
      <c r="E105" s="11" t="s">
        <v>1001</v>
      </c>
      <c r="G105" s="11" t="s">
        <v>907</v>
      </c>
      <c r="H105" s="11">
        <v>10</v>
      </c>
      <c r="I105" s="11" t="s">
        <v>77</v>
      </c>
      <c r="J105" s="12">
        <v>350</v>
      </c>
      <c r="K105" s="12">
        <v>3500</v>
      </c>
      <c r="L105" s="10"/>
      <c r="M105" s="10"/>
      <c r="N105" s="12">
        <v>3500</v>
      </c>
      <c r="O105" s="12">
        <v>178.37</v>
      </c>
      <c r="P105" s="12">
        <v>1783.7</v>
      </c>
      <c r="Q105" s="12">
        <v>1716.3</v>
      </c>
    </row>
    <row r="106" spans="1:17" hidden="1" x14ac:dyDescent="0.3">
      <c r="A106" s="8">
        <v>46070</v>
      </c>
      <c r="D106" s="11" t="s">
        <v>71</v>
      </c>
      <c r="E106" s="11" t="s">
        <v>1001</v>
      </c>
      <c r="G106" s="11" t="s">
        <v>1002</v>
      </c>
      <c r="H106" s="11">
        <v>1</v>
      </c>
      <c r="I106" s="11" t="s">
        <v>86</v>
      </c>
      <c r="J106" s="12">
        <v>1500</v>
      </c>
      <c r="K106" s="12">
        <v>1500</v>
      </c>
      <c r="L106" s="15">
        <v>1339.29</v>
      </c>
      <c r="M106" s="11">
        <v>160.71</v>
      </c>
      <c r="N106" s="10"/>
      <c r="O106" s="12">
        <v>826.98</v>
      </c>
      <c r="P106" s="12">
        <v>826.98</v>
      </c>
      <c r="Q106" s="12">
        <v>673.02</v>
      </c>
    </row>
    <row r="107" spans="1:17" hidden="1" x14ac:dyDescent="0.3">
      <c r="A107" s="8">
        <v>46070</v>
      </c>
      <c r="D107" s="11" t="s">
        <v>71</v>
      </c>
      <c r="E107" s="11" t="s">
        <v>1003</v>
      </c>
      <c r="G107" s="11" t="s">
        <v>907</v>
      </c>
      <c r="H107" s="11">
        <v>1</v>
      </c>
      <c r="I107" s="11" t="s">
        <v>100</v>
      </c>
      <c r="J107" s="12">
        <v>6100</v>
      </c>
      <c r="K107" s="12">
        <v>6100</v>
      </c>
      <c r="L107" s="10"/>
      <c r="M107" s="10"/>
      <c r="N107" s="12">
        <v>6100</v>
      </c>
      <c r="O107" s="12">
        <v>3731.54</v>
      </c>
      <c r="P107" s="12">
        <v>3731.54</v>
      </c>
      <c r="Q107" s="12">
        <v>2368.46</v>
      </c>
    </row>
    <row r="108" spans="1:17" hidden="1" x14ac:dyDescent="0.3">
      <c r="A108" s="8">
        <v>46070</v>
      </c>
      <c r="D108" s="11" t="s">
        <v>71</v>
      </c>
      <c r="E108" s="11" t="s">
        <v>1004</v>
      </c>
      <c r="G108" s="11" t="s">
        <v>73</v>
      </c>
      <c r="H108" s="11">
        <v>2</v>
      </c>
      <c r="I108" s="11" t="s">
        <v>234</v>
      </c>
      <c r="J108" s="12">
        <v>690</v>
      </c>
      <c r="K108" s="12">
        <v>1380</v>
      </c>
      <c r="L108" s="15">
        <v>1232.1400000000001</v>
      </c>
      <c r="M108" s="11">
        <v>147.86000000000001</v>
      </c>
      <c r="N108" s="10"/>
      <c r="O108" s="12">
        <v>395.83</v>
      </c>
      <c r="P108" s="12">
        <v>791.66</v>
      </c>
      <c r="Q108" s="12">
        <v>588.34</v>
      </c>
    </row>
    <row r="109" spans="1:17" hidden="1" x14ac:dyDescent="0.3">
      <c r="A109" s="8">
        <v>46070</v>
      </c>
      <c r="D109" s="11" t="s">
        <v>71</v>
      </c>
      <c r="E109" s="11" t="s">
        <v>900</v>
      </c>
      <c r="G109" s="11" t="s">
        <v>1005</v>
      </c>
      <c r="H109" s="11">
        <v>2</v>
      </c>
      <c r="I109" s="11" t="s">
        <v>268</v>
      </c>
      <c r="J109" s="12">
        <v>300</v>
      </c>
      <c r="K109" s="12">
        <v>600</v>
      </c>
      <c r="L109" s="11">
        <v>535.71</v>
      </c>
      <c r="M109" s="11">
        <v>64.290000000000006</v>
      </c>
      <c r="N109" s="10"/>
      <c r="O109" s="12">
        <v>131.94999999999999</v>
      </c>
      <c r="P109" s="12">
        <v>263.89999999999998</v>
      </c>
      <c r="Q109" s="12">
        <v>336.1</v>
      </c>
    </row>
    <row r="110" spans="1:17" hidden="1" x14ac:dyDescent="0.3">
      <c r="A110" s="8">
        <v>46071</v>
      </c>
      <c r="D110" s="11" t="s">
        <v>71</v>
      </c>
      <c r="E110" s="11" t="s">
        <v>1006</v>
      </c>
      <c r="G110" s="11" t="s">
        <v>907</v>
      </c>
      <c r="H110" s="11">
        <v>1</v>
      </c>
      <c r="I110" s="11" t="s">
        <v>100</v>
      </c>
      <c r="J110" s="12">
        <v>6100</v>
      </c>
      <c r="K110" s="12">
        <v>6100</v>
      </c>
      <c r="L110" s="10"/>
      <c r="M110" s="10"/>
      <c r="N110" s="12">
        <v>6100</v>
      </c>
      <c r="O110" s="12">
        <v>3731.54</v>
      </c>
      <c r="P110" s="12">
        <v>3731.54</v>
      </c>
      <c r="Q110" s="12">
        <v>2368.46</v>
      </c>
    </row>
    <row r="111" spans="1:17" hidden="1" x14ac:dyDescent="0.3">
      <c r="A111" s="8">
        <v>46071</v>
      </c>
      <c r="D111" s="11" t="s">
        <v>71</v>
      </c>
      <c r="E111" s="11" t="s">
        <v>1007</v>
      </c>
      <c r="G111" s="11" t="s">
        <v>625</v>
      </c>
      <c r="H111" s="11">
        <v>1</v>
      </c>
      <c r="I111" s="11" t="s">
        <v>626</v>
      </c>
      <c r="J111" s="12">
        <v>3224</v>
      </c>
      <c r="K111" s="12">
        <v>3224</v>
      </c>
      <c r="L111" s="15">
        <v>2878.57</v>
      </c>
      <c r="M111" s="11">
        <v>690.86</v>
      </c>
      <c r="N111" s="10"/>
      <c r="O111" s="12">
        <v>2110</v>
      </c>
      <c r="P111" s="12">
        <v>2110</v>
      </c>
      <c r="Q111" s="12">
        <v>1114</v>
      </c>
    </row>
    <row r="112" spans="1:17" hidden="1" x14ac:dyDescent="0.3">
      <c r="A112" s="8">
        <v>46071</v>
      </c>
      <c r="D112" s="11" t="s">
        <v>71</v>
      </c>
      <c r="E112" s="11" t="s">
        <v>918</v>
      </c>
      <c r="G112" s="11" t="s">
        <v>907</v>
      </c>
      <c r="H112" s="11">
        <v>4</v>
      </c>
      <c r="I112" s="11" t="s">
        <v>77</v>
      </c>
      <c r="J112" s="12">
        <v>350</v>
      </c>
      <c r="K112" s="12">
        <v>1400</v>
      </c>
      <c r="L112" s="10"/>
      <c r="M112" s="10"/>
      <c r="N112" s="12">
        <v>1400</v>
      </c>
      <c r="O112" s="12">
        <v>178.37</v>
      </c>
      <c r="P112" s="12">
        <v>713.48</v>
      </c>
      <c r="Q112" s="12">
        <v>686.52</v>
      </c>
    </row>
    <row r="113" spans="1:17" hidden="1" x14ac:dyDescent="0.3">
      <c r="A113" s="8">
        <v>46071</v>
      </c>
      <c r="D113" s="11" t="s">
        <v>402</v>
      </c>
      <c r="E113" s="11" t="s">
        <v>1006</v>
      </c>
      <c r="G113" s="11" t="s">
        <v>907</v>
      </c>
      <c r="H113" s="11">
        <v>30</v>
      </c>
      <c r="I113" s="11" t="s">
        <v>91</v>
      </c>
      <c r="J113" s="12">
        <v>5200</v>
      </c>
      <c r="K113" s="12">
        <v>156000</v>
      </c>
      <c r="L113" s="10"/>
      <c r="M113" s="10"/>
      <c r="N113" s="12">
        <v>156000</v>
      </c>
      <c r="O113" s="12">
        <v>3731.54</v>
      </c>
      <c r="P113" s="12">
        <v>111946.2</v>
      </c>
      <c r="Q113" s="12">
        <v>44053.8</v>
      </c>
    </row>
    <row r="114" spans="1:17" hidden="1" x14ac:dyDescent="0.3">
      <c r="A114" s="8">
        <v>46071</v>
      </c>
      <c r="D114" s="11" t="s">
        <v>71</v>
      </c>
      <c r="E114" s="11" t="s">
        <v>1008</v>
      </c>
      <c r="G114" s="11" t="s">
        <v>625</v>
      </c>
      <c r="H114" s="11">
        <v>1</v>
      </c>
      <c r="I114" s="11" t="s">
        <v>626</v>
      </c>
      <c r="J114" s="12">
        <v>3224</v>
      </c>
      <c r="K114" s="12">
        <v>3224</v>
      </c>
      <c r="L114" s="15">
        <v>2878.57</v>
      </c>
      <c r="M114" s="11">
        <v>690.86</v>
      </c>
      <c r="N114" s="10"/>
      <c r="O114" s="12">
        <v>2110</v>
      </c>
      <c r="P114" s="12">
        <v>2110</v>
      </c>
      <c r="Q114" s="12">
        <v>1114</v>
      </c>
    </row>
    <row r="115" spans="1:17" hidden="1" x14ac:dyDescent="0.3">
      <c r="A115" s="8">
        <v>46072</v>
      </c>
      <c r="D115" s="11" t="s">
        <v>71</v>
      </c>
      <c r="E115" s="11" t="s">
        <v>1009</v>
      </c>
      <c r="G115" s="11" t="s">
        <v>940</v>
      </c>
      <c r="H115" s="11">
        <v>1</v>
      </c>
      <c r="I115" s="11" t="s">
        <v>74</v>
      </c>
      <c r="J115" s="12">
        <v>300</v>
      </c>
      <c r="K115" s="12">
        <v>300</v>
      </c>
      <c r="L115" s="11">
        <v>267.86</v>
      </c>
      <c r="M115" s="11">
        <v>32.14</v>
      </c>
      <c r="N115" s="10"/>
      <c r="O115" s="12">
        <v>84.68</v>
      </c>
      <c r="P115" s="12">
        <v>84.68</v>
      </c>
      <c r="Q115" s="12">
        <v>215.32</v>
      </c>
    </row>
    <row r="116" spans="1:17" hidden="1" x14ac:dyDescent="0.3">
      <c r="A116" s="8">
        <v>46072</v>
      </c>
      <c r="D116" s="11" t="s">
        <v>71</v>
      </c>
      <c r="E116" s="11" t="s">
        <v>1010</v>
      </c>
      <c r="G116" s="11" t="s">
        <v>907</v>
      </c>
      <c r="H116" s="11">
        <v>3</v>
      </c>
      <c r="I116" s="11" t="s">
        <v>77</v>
      </c>
      <c r="J116" s="12">
        <v>350</v>
      </c>
      <c r="K116" s="12">
        <v>1050</v>
      </c>
      <c r="L116" s="10"/>
      <c r="M116" s="10"/>
      <c r="N116" s="12">
        <v>1050</v>
      </c>
      <c r="O116" s="12">
        <v>178.37</v>
      </c>
      <c r="P116" s="12">
        <v>535.11</v>
      </c>
      <c r="Q116" s="12">
        <v>514.89</v>
      </c>
    </row>
    <row r="117" spans="1:17" hidden="1" x14ac:dyDescent="0.3">
      <c r="A117" s="8">
        <v>46072</v>
      </c>
      <c r="D117" s="11" t="s">
        <v>71</v>
      </c>
      <c r="E117" s="11" t="s">
        <v>1011</v>
      </c>
      <c r="G117" s="11" t="s">
        <v>111</v>
      </c>
      <c r="H117" s="11">
        <v>1</v>
      </c>
      <c r="I117" s="11" t="s">
        <v>74</v>
      </c>
      <c r="J117" s="12">
        <v>1249</v>
      </c>
      <c r="K117" s="12">
        <v>1249</v>
      </c>
      <c r="L117" s="15">
        <v>1115.18</v>
      </c>
      <c r="M117" s="11">
        <v>133.82</v>
      </c>
      <c r="N117" s="10"/>
      <c r="O117" s="12">
        <v>870</v>
      </c>
      <c r="P117" s="12">
        <v>870</v>
      </c>
      <c r="Q117" s="12">
        <v>379</v>
      </c>
    </row>
    <row r="118" spans="1:17" hidden="1" x14ac:dyDescent="0.3">
      <c r="A118" s="8">
        <v>46073</v>
      </c>
      <c r="D118" s="11" t="s">
        <v>1012</v>
      </c>
      <c r="E118" s="11" t="s">
        <v>395</v>
      </c>
      <c r="G118" s="11" t="s">
        <v>219</v>
      </c>
      <c r="H118" s="11">
        <v>3</v>
      </c>
      <c r="I118" s="11" t="s">
        <v>627</v>
      </c>
      <c r="J118" s="12">
        <v>350</v>
      </c>
      <c r="K118" s="12">
        <v>1050</v>
      </c>
      <c r="L118" s="11">
        <v>937.5</v>
      </c>
      <c r="M118" s="11">
        <v>112.5</v>
      </c>
      <c r="N118" s="10"/>
      <c r="O118" s="12">
        <v>172.5</v>
      </c>
      <c r="P118" s="12">
        <v>517.5</v>
      </c>
      <c r="Q118" s="12">
        <v>532.5</v>
      </c>
    </row>
    <row r="119" spans="1:17" hidden="1" x14ac:dyDescent="0.3">
      <c r="A119" s="8">
        <v>46073</v>
      </c>
      <c r="D119" s="11" t="s">
        <v>89</v>
      </c>
      <c r="E119" s="11" t="s">
        <v>1013</v>
      </c>
      <c r="G119" s="11" t="s">
        <v>907</v>
      </c>
      <c r="H119" s="11">
        <v>50</v>
      </c>
      <c r="I119" s="11" t="s">
        <v>91</v>
      </c>
      <c r="J119" s="12">
        <v>4850</v>
      </c>
      <c r="K119" s="12">
        <v>242500</v>
      </c>
      <c r="L119" s="10"/>
      <c r="M119" s="10"/>
      <c r="N119" s="12">
        <v>242500</v>
      </c>
      <c r="O119" s="12">
        <v>3731.54</v>
      </c>
      <c r="P119" s="12">
        <v>186577</v>
      </c>
      <c r="Q119" s="12">
        <v>55923</v>
      </c>
    </row>
    <row r="120" spans="1:17" hidden="1" x14ac:dyDescent="0.3">
      <c r="A120" s="8">
        <v>46073</v>
      </c>
      <c r="D120" s="11" t="s">
        <v>89</v>
      </c>
      <c r="E120" s="11" t="s">
        <v>1013</v>
      </c>
      <c r="G120" s="11" t="s">
        <v>907</v>
      </c>
      <c r="H120" s="11">
        <v>320</v>
      </c>
      <c r="I120" s="11" t="s">
        <v>77</v>
      </c>
      <c r="J120" s="12">
        <v>220</v>
      </c>
      <c r="K120" s="12">
        <v>70400</v>
      </c>
      <c r="L120" s="10"/>
      <c r="M120" s="10"/>
      <c r="N120" s="12">
        <v>70400</v>
      </c>
      <c r="O120" s="12">
        <v>178.37</v>
      </c>
      <c r="P120" s="12">
        <v>57078.400000000001</v>
      </c>
      <c r="Q120" s="12">
        <v>13321.6</v>
      </c>
    </row>
    <row r="121" spans="1:17" hidden="1" x14ac:dyDescent="0.3">
      <c r="A121" s="8">
        <v>46073</v>
      </c>
      <c r="D121" s="11" t="s">
        <v>71</v>
      </c>
      <c r="E121" s="11" t="s">
        <v>1014</v>
      </c>
      <c r="G121" s="11" t="s">
        <v>625</v>
      </c>
      <c r="H121" s="11">
        <v>1</v>
      </c>
      <c r="I121" s="11" t="s">
        <v>626</v>
      </c>
      <c r="J121" s="12">
        <v>3224</v>
      </c>
      <c r="K121" s="12">
        <v>3224</v>
      </c>
      <c r="L121" s="15">
        <v>2878.57</v>
      </c>
      <c r="M121" s="11">
        <v>690.86</v>
      </c>
      <c r="N121" s="10"/>
      <c r="O121" s="12">
        <v>2110</v>
      </c>
      <c r="P121" s="12">
        <v>2110</v>
      </c>
      <c r="Q121" s="12">
        <v>1114</v>
      </c>
    </row>
    <row r="122" spans="1:17" hidden="1" x14ac:dyDescent="0.3">
      <c r="A122" s="8">
        <v>46073</v>
      </c>
      <c r="D122" s="11" t="s">
        <v>71</v>
      </c>
      <c r="E122" s="11" t="s">
        <v>1015</v>
      </c>
      <c r="G122" s="11" t="s">
        <v>73</v>
      </c>
      <c r="H122" s="11">
        <v>1</v>
      </c>
      <c r="I122" s="11" t="s">
        <v>234</v>
      </c>
      <c r="J122" s="12">
        <v>690</v>
      </c>
      <c r="K122" s="12">
        <v>690</v>
      </c>
      <c r="L122" s="11">
        <v>616.07000000000005</v>
      </c>
      <c r="M122" s="11">
        <v>73.930000000000007</v>
      </c>
      <c r="N122" s="10"/>
      <c r="O122" s="12">
        <v>395.83</v>
      </c>
      <c r="P122" s="12">
        <v>395.83</v>
      </c>
      <c r="Q122" s="12">
        <v>294.17</v>
      </c>
    </row>
    <row r="123" spans="1:17" hidden="1" x14ac:dyDescent="0.3">
      <c r="A123" s="8">
        <v>46073</v>
      </c>
      <c r="D123" s="11" t="s">
        <v>71</v>
      </c>
      <c r="E123" s="11" t="s">
        <v>1016</v>
      </c>
      <c r="G123" s="11" t="s">
        <v>940</v>
      </c>
      <c r="H123" s="11">
        <v>1</v>
      </c>
      <c r="I123" s="11" t="s">
        <v>74</v>
      </c>
      <c r="J123" s="12">
        <v>300</v>
      </c>
      <c r="K123" s="12">
        <v>300</v>
      </c>
      <c r="L123" s="11">
        <v>267.86</v>
      </c>
      <c r="M123" s="11">
        <v>32.14</v>
      </c>
      <c r="N123" s="10"/>
      <c r="O123" s="12">
        <v>84.68</v>
      </c>
      <c r="P123" s="12">
        <v>84.68</v>
      </c>
      <c r="Q123" s="12">
        <v>215.32</v>
      </c>
    </row>
    <row r="124" spans="1:17" hidden="1" x14ac:dyDescent="0.3">
      <c r="A124" s="8">
        <v>46073</v>
      </c>
      <c r="D124" s="11" t="s">
        <v>71</v>
      </c>
      <c r="E124" s="11" t="s">
        <v>1017</v>
      </c>
      <c r="G124" s="11" t="s">
        <v>907</v>
      </c>
      <c r="H124" s="11">
        <v>1</v>
      </c>
      <c r="I124" s="11" t="s">
        <v>100</v>
      </c>
      <c r="J124" s="12">
        <v>6100</v>
      </c>
      <c r="K124" s="12">
        <v>6100</v>
      </c>
      <c r="L124" s="10"/>
      <c r="M124" s="10"/>
      <c r="N124" s="12">
        <v>6100</v>
      </c>
      <c r="O124" s="12">
        <v>3731.54</v>
      </c>
      <c r="P124" s="12">
        <v>3731.54</v>
      </c>
      <c r="Q124" s="12">
        <v>2368.46</v>
      </c>
    </row>
    <row r="125" spans="1:17" hidden="1" x14ac:dyDescent="0.3">
      <c r="A125" s="8">
        <v>46073</v>
      </c>
      <c r="D125" s="11" t="s">
        <v>71</v>
      </c>
      <c r="E125" s="11" t="s">
        <v>1018</v>
      </c>
      <c r="G125" s="11" t="s">
        <v>907</v>
      </c>
      <c r="H125" s="11">
        <v>1</v>
      </c>
      <c r="I125" s="11" t="s">
        <v>100</v>
      </c>
      <c r="J125" s="12">
        <v>6100</v>
      </c>
      <c r="K125" s="12">
        <v>6100</v>
      </c>
      <c r="L125" s="10"/>
      <c r="M125" s="10"/>
      <c r="N125" s="12">
        <v>6100</v>
      </c>
      <c r="O125" s="12">
        <v>3731.54</v>
      </c>
      <c r="P125" s="12">
        <v>3731.54</v>
      </c>
      <c r="Q125" s="12">
        <v>2368.46</v>
      </c>
    </row>
    <row r="126" spans="1:17" hidden="1" x14ac:dyDescent="0.3">
      <c r="A126" s="8">
        <v>46073</v>
      </c>
      <c r="D126" s="11" t="s">
        <v>71</v>
      </c>
      <c r="E126" s="11" t="s">
        <v>1019</v>
      </c>
      <c r="G126" s="11" t="s">
        <v>73</v>
      </c>
      <c r="H126" s="11">
        <v>1</v>
      </c>
      <c r="I126" s="11" t="s">
        <v>74</v>
      </c>
      <c r="J126" s="12">
        <v>690</v>
      </c>
      <c r="K126" s="12">
        <v>690</v>
      </c>
      <c r="L126" s="11">
        <v>616.07000000000005</v>
      </c>
      <c r="M126" s="11">
        <v>73.930000000000007</v>
      </c>
      <c r="N126" s="10"/>
      <c r="O126" s="12">
        <v>395.83</v>
      </c>
      <c r="P126" s="12">
        <v>395.83</v>
      </c>
      <c r="Q126" s="12">
        <v>294.17</v>
      </c>
    </row>
    <row r="127" spans="1:17" hidden="1" x14ac:dyDescent="0.3">
      <c r="A127" s="8">
        <v>46073</v>
      </c>
      <c r="D127" s="11" t="s">
        <v>71</v>
      </c>
      <c r="E127" s="11" t="s">
        <v>1020</v>
      </c>
      <c r="G127" s="11" t="s">
        <v>1021</v>
      </c>
      <c r="H127" s="11">
        <v>2</v>
      </c>
      <c r="I127" s="11" t="s">
        <v>234</v>
      </c>
      <c r="J127" s="12">
        <v>755</v>
      </c>
      <c r="K127" s="12">
        <v>1510</v>
      </c>
      <c r="L127" s="15">
        <v>1348.21</v>
      </c>
      <c r="M127" s="11">
        <v>161.79</v>
      </c>
      <c r="N127" s="10"/>
      <c r="O127" s="11">
        <v>521.78</v>
      </c>
      <c r="P127" s="12">
        <v>1043.55</v>
      </c>
      <c r="Q127" s="12">
        <v>466.45</v>
      </c>
    </row>
    <row r="128" spans="1:17" hidden="1" x14ac:dyDescent="0.3">
      <c r="A128" s="8">
        <v>46074</v>
      </c>
      <c r="D128" s="11" t="s">
        <v>915</v>
      </c>
      <c r="E128" s="11" t="s">
        <v>1022</v>
      </c>
      <c r="G128" s="11" t="s">
        <v>907</v>
      </c>
      <c r="H128" s="11">
        <v>1</v>
      </c>
      <c r="I128" s="11" t="s">
        <v>100</v>
      </c>
      <c r="J128" s="12">
        <v>5500</v>
      </c>
      <c r="K128" s="12">
        <v>5500</v>
      </c>
      <c r="L128" s="10"/>
      <c r="M128" s="10"/>
      <c r="N128" s="12">
        <v>5500</v>
      </c>
      <c r="O128" s="12">
        <v>3731.54</v>
      </c>
      <c r="P128" s="12">
        <v>3731.54</v>
      </c>
      <c r="Q128" s="12">
        <v>1768.46</v>
      </c>
    </row>
    <row r="129" spans="1:17" hidden="1" x14ac:dyDescent="0.3">
      <c r="A129" s="8">
        <v>46074</v>
      </c>
      <c r="D129" s="11" t="s">
        <v>71</v>
      </c>
      <c r="E129" s="11" t="s">
        <v>1023</v>
      </c>
      <c r="G129" s="11" t="s">
        <v>907</v>
      </c>
      <c r="H129" s="11">
        <v>1</v>
      </c>
      <c r="I129" s="11" t="s">
        <v>100</v>
      </c>
      <c r="J129" s="12">
        <v>6100</v>
      </c>
      <c r="K129" s="12">
        <v>6100</v>
      </c>
      <c r="L129" s="10"/>
      <c r="M129" s="10"/>
      <c r="N129" s="12">
        <v>6100</v>
      </c>
      <c r="O129" s="12">
        <v>3731.54</v>
      </c>
      <c r="P129" s="12">
        <v>3731.54</v>
      </c>
      <c r="Q129" s="12">
        <v>2368.46</v>
      </c>
    </row>
    <row r="130" spans="1:17" hidden="1" x14ac:dyDescent="0.3">
      <c r="A130" s="8">
        <v>46074</v>
      </c>
      <c r="D130" s="11" t="s">
        <v>620</v>
      </c>
      <c r="E130" s="11" t="s">
        <v>906</v>
      </c>
      <c r="G130" s="11" t="s">
        <v>907</v>
      </c>
      <c r="H130" s="11">
        <v>2</v>
      </c>
      <c r="I130" s="11" t="s">
        <v>77</v>
      </c>
      <c r="J130" s="12">
        <v>350</v>
      </c>
      <c r="K130" s="12">
        <v>700</v>
      </c>
      <c r="L130" s="10"/>
      <c r="M130" s="10"/>
      <c r="N130" s="12">
        <v>700</v>
      </c>
      <c r="O130" s="12">
        <v>178.37</v>
      </c>
      <c r="P130" s="12">
        <v>356.73</v>
      </c>
      <c r="Q130" s="12">
        <v>343.27</v>
      </c>
    </row>
    <row r="131" spans="1:17" hidden="1" x14ac:dyDescent="0.3">
      <c r="A131" s="8">
        <v>46074</v>
      </c>
      <c r="D131" s="10"/>
      <c r="E131" s="11" t="s">
        <v>951</v>
      </c>
      <c r="G131" s="11" t="s">
        <v>907</v>
      </c>
      <c r="H131" s="11">
        <v>1</v>
      </c>
      <c r="I131" s="11" t="s">
        <v>100</v>
      </c>
      <c r="J131" s="12">
        <v>5500</v>
      </c>
      <c r="K131" s="12">
        <v>5500</v>
      </c>
      <c r="L131" s="10"/>
      <c r="M131" s="10"/>
      <c r="N131" s="12">
        <v>5500</v>
      </c>
      <c r="O131" s="12">
        <v>3731.54</v>
      </c>
      <c r="P131" s="12">
        <v>3731.54</v>
      </c>
      <c r="Q131" s="12">
        <v>1768.46</v>
      </c>
    </row>
    <row r="132" spans="1:17" hidden="1" x14ac:dyDescent="0.3">
      <c r="A132" s="8">
        <v>46075</v>
      </c>
      <c r="D132" s="11" t="s">
        <v>71</v>
      </c>
      <c r="E132" s="11" t="s">
        <v>1024</v>
      </c>
      <c r="G132" s="11" t="s">
        <v>625</v>
      </c>
      <c r="H132" s="11">
        <v>1</v>
      </c>
      <c r="I132" s="11" t="s">
        <v>74</v>
      </c>
      <c r="J132" s="12">
        <v>3224</v>
      </c>
      <c r="K132" s="12">
        <v>3224</v>
      </c>
      <c r="L132" s="15">
        <v>2878.57</v>
      </c>
      <c r="M132" s="11">
        <v>345.43</v>
      </c>
      <c r="N132" s="10"/>
      <c r="O132" s="12">
        <v>2110</v>
      </c>
      <c r="P132" s="12">
        <v>2110</v>
      </c>
      <c r="Q132" s="12">
        <v>1114</v>
      </c>
    </row>
    <row r="133" spans="1:17" hidden="1" x14ac:dyDescent="0.3">
      <c r="A133" s="8">
        <v>46075</v>
      </c>
      <c r="D133" s="11" t="s">
        <v>71</v>
      </c>
      <c r="E133" s="11" t="s">
        <v>1025</v>
      </c>
      <c r="G133" s="11" t="s">
        <v>907</v>
      </c>
      <c r="H133" s="11">
        <v>1</v>
      </c>
      <c r="I133" s="11" t="s">
        <v>100</v>
      </c>
      <c r="J133" s="12">
        <v>6100</v>
      </c>
      <c r="K133" s="12">
        <v>6100</v>
      </c>
      <c r="L133" s="10"/>
      <c r="M133" s="10"/>
      <c r="N133" s="12">
        <v>6100</v>
      </c>
      <c r="O133" s="12">
        <v>3731.54</v>
      </c>
      <c r="P133" s="12">
        <v>3731.54</v>
      </c>
      <c r="Q133" s="12">
        <v>2368.46</v>
      </c>
    </row>
    <row r="134" spans="1:17" hidden="1" x14ac:dyDescent="0.3">
      <c r="A134" s="8">
        <v>46075</v>
      </c>
      <c r="D134" s="11" t="s">
        <v>71</v>
      </c>
      <c r="E134" s="11" t="s">
        <v>623</v>
      </c>
      <c r="G134" s="11" t="s">
        <v>907</v>
      </c>
      <c r="H134" s="11">
        <v>1</v>
      </c>
      <c r="I134" s="11" t="s">
        <v>77</v>
      </c>
      <c r="J134" s="12">
        <v>350</v>
      </c>
      <c r="K134" s="12">
        <v>350</v>
      </c>
      <c r="L134" s="10"/>
      <c r="M134" s="10"/>
      <c r="N134" s="12">
        <v>350</v>
      </c>
      <c r="O134" s="12">
        <v>178.37</v>
      </c>
      <c r="P134" s="12">
        <v>178.37</v>
      </c>
      <c r="Q134" s="12">
        <v>171.63</v>
      </c>
    </row>
    <row r="135" spans="1:17" hidden="1" x14ac:dyDescent="0.3">
      <c r="A135" s="8">
        <v>46075</v>
      </c>
      <c r="D135" s="11" t="s">
        <v>71</v>
      </c>
      <c r="E135" s="11" t="s">
        <v>623</v>
      </c>
      <c r="G135" t="s">
        <v>975</v>
      </c>
      <c r="H135" s="11">
        <v>1</v>
      </c>
      <c r="I135" s="11" t="s">
        <v>268</v>
      </c>
      <c r="J135" s="12">
        <v>150</v>
      </c>
      <c r="K135" s="12">
        <v>150</v>
      </c>
      <c r="L135" s="11">
        <v>133.93</v>
      </c>
      <c r="M135" s="11">
        <v>16.07</v>
      </c>
      <c r="N135" s="10"/>
      <c r="O135" s="12">
        <v>7.28</v>
      </c>
      <c r="P135" s="12">
        <v>7.28</v>
      </c>
      <c r="Q135" s="12">
        <v>142.72</v>
      </c>
    </row>
    <row r="136" spans="1:17" hidden="1" x14ac:dyDescent="0.3">
      <c r="A136" s="8">
        <v>46075</v>
      </c>
      <c r="D136" s="11" t="s">
        <v>71</v>
      </c>
      <c r="E136" s="11" t="s">
        <v>1026</v>
      </c>
      <c r="G136" s="11" t="s">
        <v>907</v>
      </c>
      <c r="H136" s="11">
        <v>5</v>
      </c>
      <c r="I136" s="11" t="s">
        <v>77</v>
      </c>
      <c r="J136" s="12">
        <v>350</v>
      </c>
      <c r="K136" s="12">
        <v>1750</v>
      </c>
      <c r="L136" s="10"/>
      <c r="M136" s="10"/>
      <c r="N136" s="12">
        <v>350</v>
      </c>
      <c r="O136" s="12">
        <v>178.37</v>
      </c>
      <c r="P136" s="12">
        <v>891.85</v>
      </c>
      <c r="Q136" s="12">
        <v>858.15</v>
      </c>
    </row>
    <row r="137" spans="1:17" hidden="1" x14ac:dyDescent="0.3">
      <c r="A137" s="8">
        <v>46075</v>
      </c>
      <c r="D137" s="11" t="s">
        <v>71</v>
      </c>
      <c r="E137" s="11" t="s">
        <v>1026</v>
      </c>
      <c r="G137" s="11" t="s">
        <v>973</v>
      </c>
      <c r="H137" s="11">
        <v>2</v>
      </c>
      <c r="I137" s="11" t="s">
        <v>74</v>
      </c>
      <c r="J137" s="12">
        <v>300</v>
      </c>
      <c r="K137" s="12">
        <v>600</v>
      </c>
      <c r="L137" s="11">
        <v>535.71</v>
      </c>
      <c r="M137" s="11">
        <v>64.290000000000006</v>
      </c>
      <c r="N137" s="10"/>
      <c r="O137" s="12">
        <v>39.200000000000003</v>
      </c>
      <c r="P137" s="12">
        <v>78.400000000000006</v>
      </c>
      <c r="Q137" s="12">
        <v>521.6</v>
      </c>
    </row>
    <row r="138" spans="1:17" hidden="1" x14ac:dyDescent="0.3">
      <c r="A138" s="8">
        <v>46075</v>
      </c>
      <c r="D138" s="11" t="s">
        <v>71</v>
      </c>
      <c r="E138" s="11" t="s">
        <v>1027</v>
      </c>
      <c r="G138" s="11" t="s">
        <v>907</v>
      </c>
      <c r="H138" s="11">
        <v>1</v>
      </c>
      <c r="I138" s="11" t="s">
        <v>100</v>
      </c>
      <c r="J138" s="12">
        <v>6100</v>
      </c>
      <c r="K138" s="12">
        <v>6100</v>
      </c>
      <c r="L138" s="10"/>
      <c r="M138" s="10"/>
      <c r="N138" s="12">
        <v>6100</v>
      </c>
      <c r="O138" s="12">
        <v>3731.54</v>
      </c>
      <c r="P138" s="12">
        <v>3731.54</v>
      </c>
      <c r="Q138" s="12">
        <v>2368.46</v>
      </c>
    </row>
    <row r="139" spans="1:17" hidden="1" x14ac:dyDescent="0.3">
      <c r="A139" s="8">
        <v>46075</v>
      </c>
      <c r="D139" s="11" t="s">
        <v>71</v>
      </c>
      <c r="E139" s="11" t="s">
        <v>1027</v>
      </c>
      <c r="G139" s="11" t="s">
        <v>628</v>
      </c>
      <c r="H139" s="11">
        <v>2</v>
      </c>
      <c r="I139" s="11" t="s">
        <v>74</v>
      </c>
      <c r="J139" s="12">
        <v>538</v>
      </c>
      <c r="K139" s="12">
        <v>1076</v>
      </c>
      <c r="L139" s="10"/>
      <c r="M139" s="15">
        <v>1074.8</v>
      </c>
      <c r="N139" s="11" t="s">
        <v>922</v>
      </c>
      <c r="O139" s="12">
        <v>313.04000000000002</v>
      </c>
      <c r="P139" s="12">
        <v>626.08000000000004</v>
      </c>
      <c r="Q139" s="12">
        <v>449.92</v>
      </c>
    </row>
    <row r="140" spans="1:17" hidden="1" x14ac:dyDescent="0.3">
      <c r="A140" s="8">
        <v>46075</v>
      </c>
      <c r="D140" s="11" t="s">
        <v>71</v>
      </c>
      <c r="E140" s="11" t="s">
        <v>1027</v>
      </c>
      <c r="G140" s="11" t="s">
        <v>1005</v>
      </c>
      <c r="H140" s="11">
        <v>2</v>
      </c>
      <c r="I140" s="11" t="s">
        <v>268</v>
      </c>
      <c r="J140" s="12">
        <v>300</v>
      </c>
      <c r="K140" s="12">
        <v>600</v>
      </c>
      <c r="L140" s="11">
        <v>535.71</v>
      </c>
      <c r="M140" s="11">
        <v>64.290000000000006</v>
      </c>
      <c r="N140" s="10"/>
      <c r="O140" s="12">
        <v>131.94999999999999</v>
      </c>
      <c r="P140" s="12">
        <v>263.89999999999998</v>
      </c>
      <c r="Q140" s="12">
        <v>336.1</v>
      </c>
    </row>
    <row r="141" spans="1:17" hidden="1" x14ac:dyDescent="0.3">
      <c r="A141" s="8">
        <v>46076</v>
      </c>
      <c r="D141" s="11" t="s">
        <v>71</v>
      </c>
      <c r="E141" s="11" t="s">
        <v>1028</v>
      </c>
      <c r="G141" s="11" t="s">
        <v>111</v>
      </c>
      <c r="H141" s="11">
        <v>1</v>
      </c>
      <c r="I141" s="11" t="s">
        <v>74</v>
      </c>
      <c r="J141" s="12">
        <v>1249</v>
      </c>
      <c r="K141" s="12">
        <v>1249</v>
      </c>
      <c r="L141" s="15">
        <v>1115.18</v>
      </c>
      <c r="M141" s="11">
        <v>133.82</v>
      </c>
      <c r="N141" s="10"/>
      <c r="O141" s="12">
        <v>870</v>
      </c>
      <c r="P141" s="12">
        <v>870</v>
      </c>
      <c r="Q141" s="12">
        <v>379</v>
      </c>
    </row>
    <row r="142" spans="1:17" hidden="1" x14ac:dyDescent="0.3">
      <c r="A142" s="8">
        <v>46076</v>
      </c>
      <c r="D142" s="11" t="s">
        <v>71</v>
      </c>
      <c r="E142" s="11" t="s">
        <v>1029</v>
      </c>
      <c r="G142" s="11" t="s">
        <v>907</v>
      </c>
      <c r="H142" s="11">
        <v>1</v>
      </c>
      <c r="I142" s="11" t="s">
        <v>77</v>
      </c>
      <c r="J142" s="12">
        <v>350</v>
      </c>
      <c r="K142" s="12">
        <v>350</v>
      </c>
      <c r="L142" s="10"/>
      <c r="M142" s="10"/>
      <c r="N142" s="12">
        <v>350</v>
      </c>
      <c r="O142" s="12">
        <v>178.37</v>
      </c>
      <c r="P142" s="12">
        <v>178.37</v>
      </c>
      <c r="Q142" s="12">
        <v>171.63</v>
      </c>
    </row>
    <row r="143" spans="1:17" hidden="1" x14ac:dyDescent="0.3">
      <c r="A143" s="8">
        <v>46076</v>
      </c>
      <c r="D143" s="11" t="s">
        <v>71</v>
      </c>
      <c r="E143" s="11" t="s">
        <v>1030</v>
      </c>
      <c r="G143" s="11" t="s">
        <v>907</v>
      </c>
      <c r="H143" s="11">
        <v>2</v>
      </c>
      <c r="I143" s="11" t="s">
        <v>77</v>
      </c>
      <c r="J143" s="12">
        <v>350</v>
      </c>
      <c r="K143" s="12">
        <v>700</v>
      </c>
      <c r="L143" s="10"/>
      <c r="M143" s="10"/>
      <c r="N143" s="12">
        <v>700</v>
      </c>
      <c r="O143" s="12">
        <v>178.37</v>
      </c>
      <c r="P143" s="12">
        <v>356.74</v>
      </c>
      <c r="Q143" s="12">
        <v>343.26</v>
      </c>
    </row>
    <row r="144" spans="1:17" hidden="1" x14ac:dyDescent="0.3">
      <c r="A144" s="8">
        <v>46076</v>
      </c>
      <c r="D144" s="11" t="s">
        <v>1031</v>
      </c>
      <c r="E144" s="11" t="s">
        <v>1032</v>
      </c>
      <c r="G144" s="11" t="s">
        <v>625</v>
      </c>
      <c r="H144" s="11">
        <v>1</v>
      </c>
      <c r="I144" s="11" t="s">
        <v>626</v>
      </c>
      <c r="J144" s="12">
        <v>3224</v>
      </c>
      <c r="K144" s="12">
        <v>3224</v>
      </c>
      <c r="L144" s="15">
        <v>2878.57</v>
      </c>
      <c r="M144" s="11">
        <v>345.43</v>
      </c>
      <c r="N144" s="10"/>
      <c r="O144" s="12">
        <v>2110</v>
      </c>
      <c r="P144" s="12">
        <v>2110</v>
      </c>
      <c r="Q144" s="12">
        <v>1114</v>
      </c>
    </row>
    <row r="145" spans="1:17" hidden="1" x14ac:dyDescent="0.3">
      <c r="A145" s="8">
        <v>46076</v>
      </c>
      <c r="D145" s="11" t="s">
        <v>915</v>
      </c>
      <c r="E145" s="11" t="s">
        <v>1033</v>
      </c>
      <c r="G145" s="11" t="s">
        <v>907</v>
      </c>
      <c r="H145" s="11">
        <v>5</v>
      </c>
      <c r="I145" s="11" t="s">
        <v>77</v>
      </c>
      <c r="J145" s="12">
        <v>350</v>
      </c>
      <c r="K145" s="12">
        <v>1750</v>
      </c>
      <c r="L145" s="10"/>
      <c r="M145" s="10"/>
      <c r="N145" s="12">
        <v>1750</v>
      </c>
      <c r="O145" s="12">
        <v>178.37</v>
      </c>
      <c r="P145" s="12">
        <v>891.85</v>
      </c>
      <c r="Q145" s="12">
        <v>858.15</v>
      </c>
    </row>
    <row r="146" spans="1:17" hidden="1" x14ac:dyDescent="0.3">
      <c r="A146" s="8">
        <v>46076</v>
      </c>
      <c r="D146" s="11" t="s">
        <v>915</v>
      </c>
      <c r="E146" s="11" t="s">
        <v>1034</v>
      </c>
      <c r="G146" s="11" t="s">
        <v>907</v>
      </c>
      <c r="H146" s="11">
        <v>1</v>
      </c>
      <c r="I146" s="11" t="s">
        <v>100</v>
      </c>
      <c r="J146" s="12">
        <v>5200</v>
      </c>
      <c r="K146" s="12">
        <v>5200</v>
      </c>
      <c r="L146" s="10"/>
      <c r="M146" s="10"/>
      <c r="N146" s="12">
        <v>5200</v>
      </c>
      <c r="O146" s="12">
        <v>3731.54</v>
      </c>
      <c r="P146" s="12">
        <v>3731.54</v>
      </c>
      <c r="Q146" s="12">
        <v>1468.46</v>
      </c>
    </row>
    <row r="147" spans="1:17" hidden="1" x14ac:dyDescent="0.3">
      <c r="A147" s="8">
        <v>46078</v>
      </c>
      <c r="D147" s="11" t="s">
        <v>954</v>
      </c>
      <c r="E147" s="11" t="s">
        <v>955</v>
      </c>
      <c r="G147" s="11" t="s">
        <v>907</v>
      </c>
      <c r="H147" s="11">
        <v>1</v>
      </c>
      <c r="I147" s="11" t="s">
        <v>100</v>
      </c>
      <c r="J147" s="12">
        <v>5750</v>
      </c>
      <c r="K147" s="12">
        <v>5750</v>
      </c>
      <c r="L147" s="10"/>
      <c r="M147" s="10"/>
      <c r="N147" s="12">
        <v>5750</v>
      </c>
      <c r="O147" s="12">
        <v>3731.54</v>
      </c>
      <c r="P147" s="12">
        <v>3731.54</v>
      </c>
      <c r="Q147" s="12">
        <v>2018.46</v>
      </c>
    </row>
    <row r="148" spans="1:17" hidden="1" x14ac:dyDescent="0.3">
      <c r="A148" s="8">
        <v>46078</v>
      </c>
      <c r="D148" s="10"/>
      <c r="E148" s="11" t="s">
        <v>990</v>
      </c>
      <c r="G148" s="11" t="s">
        <v>907</v>
      </c>
      <c r="H148" s="11">
        <v>64</v>
      </c>
      <c r="I148" s="11" t="s">
        <v>77</v>
      </c>
      <c r="J148" s="12">
        <v>234.38</v>
      </c>
      <c r="K148" s="12">
        <v>15000</v>
      </c>
      <c r="L148" s="10"/>
      <c r="M148" s="10"/>
      <c r="N148" s="12">
        <v>15000</v>
      </c>
      <c r="O148" s="12">
        <v>178.37</v>
      </c>
      <c r="P148" s="12">
        <v>11415.46</v>
      </c>
      <c r="Q148" s="12">
        <v>3584.54</v>
      </c>
    </row>
    <row r="149" spans="1:17" hidden="1" x14ac:dyDescent="0.3">
      <c r="A149" s="8">
        <v>46078</v>
      </c>
      <c r="D149" s="10"/>
      <c r="E149" s="11" t="s">
        <v>1035</v>
      </c>
      <c r="G149" s="11" t="s">
        <v>219</v>
      </c>
      <c r="H149" s="11">
        <v>5</v>
      </c>
      <c r="I149" s="11" t="s">
        <v>627</v>
      </c>
      <c r="J149" s="12">
        <v>350</v>
      </c>
      <c r="K149" s="12">
        <v>1750</v>
      </c>
      <c r="L149" s="15">
        <v>1562.5</v>
      </c>
      <c r="M149" s="11">
        <v>187.5</v>
      </c>
      <c r="N149" s="10"/>
      <c r="O149" s="12">
        <v>172.5</v>
      </c>
      <c r="P149" s="12">
        <v>862.5</v>
      </c>
      <c r="Q149" s="12">
        <v>887.5</v>
      </c>
    </row>
    <row r="150" spans="1:17" hidden="1" x14ac:dyDescent="0.3">
      <c r="A150" s="8">
        <v>46078</v>
      </c>
      <c r="D150" s="10"/>
      <c r="E150" s="11" t="s">
        <v>1036</v>
      </c>
      <c r="G150" s="11" t="s">
        <v>907</v>
      </c>
      <c r="H150" s="11">
        <v>1</v>
      </c>
      <c r="I150" s="11" t="s">
        <v>100</v>
      </c>
      <c r="J150" s="12">
        <v>5250</v>
      </c>
      <c r="K150" s="12">
        <v>5250</v>
      </c>
      <c r="L150" s="10"/>
      <c r="M150" s="10"/>
      <c r="N150" s="12">
        <v>5250</v>
      </c>
      <c r="O150" s="12">
        <v>3731.54</v>
      </c>
      <c r="P150" s="12">
        <v>3731.54</v>
      </c>
      <c r="Q150" s="12">
        <v>1518.46</v>
      </c>
    </row>
    <row r="151" spans="1:17" hidden="1" x14ac:dyDescent="0.3">
      <c r="A151" s="8">
        <v>46078</v>
      </c>
      <c r="D151" s="11" t="s">
        <v>71</v>
      </c>
      <c r="E151" s="11" t="s">
        <v>1037</v>
      </c>
      <c r="G151" s="11" t="s">
        <v>907</v>
      </c>
      <c r="H151" s="11">
        <v>2</v>
      </c>
      <c r="I151" s="11" t="s">
        <v>77</v>
      </c>
      <c r="J151" s="12">
        <v>350</v>
      </c>
      <c r="K151" s="12">
        <v>700</v>
      </c>
      <c r="L151" s="10"/>
      <c r="M151" s="10"/>
      <c r="N151" s="12">
        <v>700</v>
      </c>
      <c r="O151" s="12">
        <v>178.37</v>
      </c>
      <c r="P151" s="12">
        <v>356.74</v>
      </c>
      <c r="Q151" s="12">
        <v>343.26</v>
      </c>
    </row>
    <row r="152" spans="1:17" hidden="1" x14ac:dyDescent="0.3">
      <c r="A152" s="8">
        <v>46078</v>
      </c>
      <c r="D152" s="11" t="s">
        <v>71</v>
      </c>
      <c r="E152" s="11" t="s">
        <v>1038</v>
      </c>
      <c r="G152" s="11" t="s">
        <v>907</v>
      </c>
      <c r="H152" s="11">
        <v>1</v>
      </c>
      <c r="I152" s="11" t="s">
        <v>77</v>
      </c>
      <c r="J152" s="12">
        <v>350</v>
      </c>
      <c r="K152" s="12">
        <v>350</v>
      </c>
      <c r="L152" s="10"/>
      <c r="M152" s="10"/>
      <c r="N152" s="12">
        <v>350</v>
      </c>
      <c r="O152" s="12">
        <v>178.37</v>
      </c>
      <c r="P152" s="12">
        <v>178.37</v>
      </c>
      <c r="Q152" s="12">
        <v>171.63</v>
      </c>
    </row>
    <row r="153" spans="1:17" hidden="1" x14ac:dyDescent="0.3">
      <c r="A153" s="8">
        <v>46078</v>
      </c>
      <c r="D153" s="11" t="s">
        <v>71</v>
      </c>
      <c r="E153" s="11" t="s">
        <v>1039</v>
      </c>
      <c r="G153" s="11" t="s">
        <v>73</v>
      </c>
      <c r="H153" s="11">
        <v>1</v>
      </c>
      <c r="I153" s="11" t="s">
        <v>234</v>
      </c>
      <c r="J153" s="12">
        <v>690</v>
      </c>
      <c r="K153" s="12">
        <v>690</v>
      </c>
      <c r="L153" s="11">
        <v>616.07000000000005</v>
      </c>
      <c r="M153" s="11">
        <v>73.930000000000007</v>
      </c>
      <c r="N153" s="10"/>
      <c r="O153" s="12">
        <v>395.83</v>
      </c>
      <c r="P153" s="12">
        <v>395.83</v>
      </c>
      <c r="Q153" s="12">
        <v>294.17</v>
      </c>
    </row>
    <row r="154" spans="1:17" hidden="1" x14ac:dyDescent="0.3">
      <c r="A154" s="8">
        <v>46078</v>
      </c>
      <c r="D154" s="11" t="s">
        <v>71</v>
      </c>
      <c r="E154" s="11" t="s">
        <v>1040</v>
      </c>
      <c r="G154" s="11" t="s">
        <v>73</v>
      </c>
      <c r="H154" s="11">
        <v>4</v>
      </c>
      <c r="I154" s="11" t="s">
        <v>234</v>
      </c>
      <c r="J154" s="12">
        <v>690</v>
      </c>
      <c r="K154" s="12">
        <v>2760</v>
      </c>
      <c r="L154" s="15">
        <v>2464.29</v>
      </c>
      <c r="M154" s="11">
        <v>295.70999999999998</v>
      </c>
      <c r="N154" s="10"/>
      <c r="O154" s="12">
        <v>395.83</v>
      </c>
      <c r="P154" s="12">
        <v>1583.32</v>
      </c>
      <c r="Q154" s="12">
        <v>1176.68</v>
      </c>
    </row>
    <row r="155" spans="1:17" hidden="1" x14ac:dyDescent="0.3">
      <c r="A155" s="8">
        <v>46078</v>
      </c>
      <c r="D155" s="11" t="s">
        <v>71</v>
      </c>
      <c r="E155" s="11" t="s">
        <v>989</v>
      </c>
      <c r="G155" s="11" t="s">
        <v>907</v>
      </c>
      <c r="H155" s="11">
        <v>1</v>
      </c>
      <c r="I155" s="11" t="s">
        <v>309</v>
      </c>
      <c r="J155" s="12">
        <v>250</v>
      </c>
      <c r="K155" s="12">
        <v>250</v>
      </c>
      <c r="L155" s="10"/>
      <c r="M155" s="10"/>
      <c r="N155" s="12">
        <v>250</v>
      </c>
      <c r="O155" s="12">
        <v>102.22</v>
      </c>
      <c r="P155" s="12">
        <v>102.22</v>
      </c>
      <c r="Q155" s="12">
        <v>147.78</v>
      </c>
    </row>
    <row r="156" spans="1:17" hidden="1" x14ac:dyDescent="0.3">
      <c r="A156" s="8">
        <v>46078</v>
      </c>
      <c r="D156" s="11" t="s">
        <v>71</v>
      </c>
      <c r="E156" s="11" t="s">
        <v>1041</v>
      </c>
      <c r="G156" s="11" t="s">
        <v>907</v>
      </c>
      <c r="H156" s="11">
        <v>1</v>
      </c>
      <c r="I156" s="11" t="s">
        <v>100</v>
      </c>
      <c r="J156" s="12">
        <v>6100</v>
      </c>
      <c r="K156" s="12">
        <v>6100</v>
      </c>
      <c r="L156" s="10"/>
      <c r="M156" s="10"/>
      <c r="N156" s="12">
        <v>6100</v>
      </c>
      <c r="O156" s="12">
        <v>3731.54</v>
      </c>
      <c r="P156" s="12">
        <v>3731.54</v>
      </c>
      <c r="Q156" s="12">
        <v>2368.46</v>
      </c>
    </row>
    <row r="157" spans="1:17" hidden="1" x14ac:dyDescent="0.3">
      <c r="A157" s="8">
        <v>46078</v>
      </c>
      <c r="D157" s="11" t="s">
        <v>71</v>
      </c>
      <c r="E157" s="11" t="s">
        <v>1041</v>
      </c>
      <c r="G157" s="11" t="s">
        <v>940</v>
      </c>
      <c r="H157" s="11">
        <v>2</v>
      </c>
      <c r="I157" s="11" t="s">
        <v>234</v>
      </c>
      <c r="J157" s="12">
        <v>300</v>
      </c>
      <c r="K157" s="12">
        <v>600</v>
      </c>
      <c r="L157" s="10"/>
      <c r="M157" s="11">
        <v>535.71</v>
      </c>
      <c r="N157" s="10"/>
      <c r="O157" s="12">
        <v>84.68</v>
      </c>
      <c r="P157" s="12">
        <v>169.36</v>
      </c>
      <c r="Q157" s="12">
        <v>430.64</v>
      </c>
    </row>
    <row r="158" spans="1:17" hidden="1" x14ac:dyDescent="0.3">
      <c r="A158" s="8">
        <v>46078</v>
      </c>
      <c r="D158" s="11" t="s">
        <v>71</v>
      </c>
      <c r="E158" s="11" t="s">
        <v>1003</v>
      </c>
      <c r="G158" s="11" t="s">
        <v>907</v>
      </c>
      <c r="H158" s="11">
        <v>1</v>
      </c>
      <c r="I158" s="11" t="s">
        <v>100</v>
      </c>
      <c r="J158" s="12">
        <v>6100</v>
      </c>
      <c r="K158" s="12">
        <v>6100</v>
      </c>
      <c r="L158" s="10"/>
      <c r="M158" s="10"/>
      <c r="N158" s="12">
        <v>6100</v>
      </c>
      <c r="O158" s="12">
        <v>3731.54</v>
      </c>
      <c r="P158" s="12">
        <v>3731.54</v>
      </c>
      <c r="Q158" s="12">
        <v>2368.46</v>
      </c>
    </row>
    <row r="159" spans="1:17" hidden="1" x14ac:dyDescent="0.3">
      <c r="A159" s="8">
        <v>46078</v>
      </c>
      <c r="D159" s="11" t="s">
        <v>71</v>
      </c>
      <c r="E159" s="11" t="s">
        <v>1042</v>
      </c>
      <c r="G159" s="11" t="s">
        <v>907</v>
      </c>
      <c r="H159" s="11">
        <v>1</v>
      </c>
      <c r="I159" s="11" t="s">
        <v>100</v>
      </c>
      <c r="J159" s="12">
        <v>6100</v>
      </c>
      <c r="K159" s="12">
        <v>6100</v>
      </c>
      <c r="L159" s="10"/>
      <c r="M159" s="10"/>
      <c r="N159" s="12">
        <v>6100</v>
      </c>
      <c r="O159" s="12">
        <v>3655.8</v>
      </c>
      <c r="P159" s="12">
        <v>3655.8</v>
      </c>
      <c r="Q159" s="12">
        <v>2444.1999999999998</v>
      </c>
    </row>
    <row r="160" spans="1:17" hidden="1" x14ac:dyDescent="0.3">
      <c r="A160" s="8">
        <v>46078</v>
      </c>
      <c r="D160" s="11" t="s">
        <v>71</v>
      </c>
      <c r="E160" s="11" t="s">
        <v>1042</v>
      </c>
      <c r="G160" s="11" t="s">
        <v>219</v>
      </c>
      <c r="H160" s="11">
        <v>1</v>
      </c>
      <c r="I160" s="11" t="s">
        <v>220</v>
      </c>
      <c r="J160" s="12">
        <v>6250</v>
      </c>
      <c r="K160" s="12">
        <v>6250</v>
      </c>
      <c r="L160" s="15">
        <v>5580.36</v>
      </c>
      <c r="M160" s="11">
        <v>669.64</v>
      </c>
      <c r="N160" s="10"/>
      <c r="O160" s="12">
        <v>4140</v>
      </c>
      <c r="P160" s="12">
        <v>4140</v>
      </c>
      <c r="Q160" s="12">
        <v>2110</v>
      </c>
    </row>
    <row r="161" spans="1:17" hidden="1" x14ac:dyDescent="0.3">
      <c r="A161" s="8">
        <v>46078</v>
      </c>
      <c r="D161" s="11" t="s">
        <v>71</v>
      </c>
      <c r="E161" s="11" t="s">
        <v>1043</v>
      </c>
      <c r="G161" s="11" t="s">
        <v>625</v>
      </c>
      <c r="H161" s="11">
        <v>1</v>
      </c>
      <c r="I161" s="11" t="s">
        <v>626</v>
      </c>
      <c r="J161" s="12">
        <v>3224</v>
      </c>
      <c r="K161" s="12">
        <v>3224</v>
      </c>
      <c r="L161" s="15">
        <v>2878.57</v>
      </c>
      <c r="M161" s="11">
        <v>690.86</v>
      </c>
      <c r="N161" s="10"/>
      <c r="O161" s="12">
        <v>2110</v>
      </c>
      <c r="P161" s="12">
        <v>2110</v>
      </c>
      <c r="Q161" s="12">
        <v>1114</v>
      </c>
    </row>
    <row r="162" spans="1:17" hidden="1" x14ac:dyDescent="0.3">
      <c r="A162" s="8">
        <v>46078</v>
      </c>
      <c r="D162" s="11" t="s">
        <v>71</v>
      </c>
      <c r="E162" s="11" t="s">
        <v>624</v>
      </c>
      <c r="G162" s="11" t="s">
        <v>907</v>
      </c>
      <c r="H162" s="11">
        <v>5</v>
      </c>
      <c r="I162" s="11" t="s">
        <v>77</v>
      </c>
      <c r="J162" s="12">
        <v>350</v>
      </c>
      <c r="K162" s="12">
        <v>1750</v>
      </c>
      <c r="L162" s="10"/>
      <c r="M162" s="10"/>
      <c r="N162" s="12">
        <v>1750</v>
      </c>
      <c r="O162" s="12">
        <v>178.37</v>
      </c>
      <c r="P162" s="12">
        <v>891.85</v>
      </c>
      <c r="Q162" s="12">
        <v>858.15</v>
      </c>
    </row>
    <row r="163" spans="1:17" hidden="1" x14ac:dyDescent="0.3">
      <c r="A163" s="8">
        <v>46078</v>
      </c>
      <c r="D163" s="11" t="s">
        <v>1044</v>
      </c>
      <c r="E163" s="11" t="s">
        <v>227</v>
      </c>
      <c r="G163" s="11" t="s">
        <v>907</v>
      </c>
      <c r="H163" s="11">
        <v>1</v>
      </c>
      <c r="I163" s="11" t="s">
        <v>100</v>
      </c>
      <c r="J163" s="12">
        <v>5250</v>
      </c>
      <c r="K163" s="12">
        <v>5250</v>
      </c>
      <c r="L163" s="10"/>
      <c r="M163" s="10"/>
      <c r="N163" s="12">
        <v>5250</v>
      </c>
      <c r="O163" s="12">
        <v>3731.54</v>
      </c>
      <c r="P163" s="12">
        <v>3731.54</v>
      </c>
      <c r="Q163" s="12">
        <v>1518.46</v>
      </c>
    </row>
    <row r="164" spans="1:17" hidden="1" x14ac:dyDescent="0.3">
      <c r="A164" s="8">
        <v>46078</v>
      </c>
      <c r="D164" s="11" t="s">
        <v>71</v>
      </c>
      <c r="E164" s="11" t="s">
        <v>1045</v>
      </c>
      <c r="G164" s="11" t="s">
        <v>928</v>
      </c>
      <c r="H164" s="11">
        <v>1</v>
      </c>
      <c r="I164" s="11" t="s">
        <v>149</v>
      </c>
      <c r="J164" s="12">
        <v>300</v>
      </c>
      <c r="K164" s="12">
        <v>300</v>
      </c>
      <c r="L164" s="11">
        <v>267.86</v>
      </c>
      <c r="M164" s="11">
        <v>32.14</v>
      </c>
      <c r="N164" s="10"/>
      <c r="O164" s="12">
        <v>119.01</v>
      </c>
      <c r="P164" s="12">
        <v>119.01</v>
      </c>
      <c r="Q164" s="12">
        <v>180.99</v>
      </c>
    </row>
    <row r="165" spans="1:17" hidden="1" x14ac:dyDescent="0.3">
      <c r="A165" s="8">
        <v>46078</v>
      </c>
      <c r="D165" s="11" t="s">
        <v>71</v>
      </c>
      <c r="E165" s="11" t="s">
        <v>1045</v>
      </c>
      <c r="G165" s="11" t="s">
        <v>899</v>
      </c>
      <c r="H165" s="11">
        <v>1</v>
      </c>
      <c r="I165" s="11" t="s">
        <v>86</v>
      </c>
      <c r="J165" s="12">
        <v>560</v>
      </c>
      <c r="K165" s="12">
        <v>560</v>
      </c>
      <c r="L165" s="11">
        <v>500</v>
      </c>
      <c r="M165" s="11">
        <v>60</v>
      </c>
      <c r="N165" s="10"/>
      <c r="O165" s="12">
        <v>218.56</v>
      </c>
      <c r="P165" s="12">
        <v>218.56</v>
      </c>
      <c r="Q165" s="12">
        <v>341.44</v>
      </c>
    </row>
    <row r="166" spans="1:17" hidden="1" x14ac:dyDescent="0.3">
      <c r="A166" s="8">
        <v>46078</v>
      </c>
      <c r="D166" s="11" t="s">
        <v>71</v>
      </c>
      <c r="E166" s="11" t="s">
        <v>1045</v>
      </c>
      <c r="G166" s="11" t="s">
        <v>980</v>
      </c>
      <c r="H166" s="11">
        <v>4</v>
      </c>
      <c r="I166" s="11" t="s">
        <v>130</v>
      </c>
      <c r="J166" s="12">
        <v>60</v>
      </c>
      <c r="K166" s="12">
        <v>240</v>
      </c>
      <c r="L166" s="11">
        <v>238.8</v>
      </c>
      <c r="M166" s="11">
        <v>28.66</v>
      </c>
      <c r="N166" s="11" t="s">
        <v>922</v>
      </c>
      <c r="O166" s="12">
        <v>20.97</v>
      </c>
      <c r="P166" s="12">
        <v>83.88</v>
      </c>
      <c r="Q166" s="12">
        <v>156.12</v>
      </c>
    </row>
    <row r="167" spans="1:17" hidden="1" x14ac:dyDescent="0.3">
      <c r="A167" s="8">
        <v>46079</v>
      </c>
      <c r="D167" s="11" t="s">
        <v>620</v>
      </c>
      <c r="E167" s="11" t="s">
        <v>1046</v>
      </c>
      <c r="G167" s="22" t="s">
        <v>1047</v>
      </c>
      <c r="H167" s="11">
        <v>4</v>
      </c>
      <c r="I167" s="11" t="s">
        <v>86</v>
      </c>
      <c r="J167" s="12">
        <v>3500</v>
      </c>
      <c r="K167" s="12">
        <v>14000</v>
      </c>
      <c r="L167" s="15">
        <v>13998.8</v>
      </c>
      <c r="M167" s="15">
        <v>1679.86</v>
      </c>
      <c r="N167" s="10"/>
      <c r="O167" s="12">
        <v>235.58</v>
      </c>
      <c r="P167" s="12">
        <v>942.31</v>
      </c>
      <c r="Q167" s="12">
        <v>13057.69</v>
      </c>
    </row>
    <row r="168" spans="1:17" hidden="1" x14ac:dyDescent="0.3">
      <c r="A168" s="8">
        <v>46079</v>
      </c>
      <c r="D168" s="11" t="s">
        <v>71</v>
      </c>
      <c r="E168" s="11" t="s">
        <v>1048</v>
      </c>
      <c r="G168" s="11" t="s">
        <v>907</v>
      </c>
      <c r="H168" s="11">
        <v>1</v>
      </c>
      <c r="I168" s="11" t="s">
        <v>77</v>
      </c>
      <c r="J168" s="12">
        <v>350</v>
      </c>
      <c r="K168" s="12">
        <v>350</v>
      </c>
      <c r="L168" s="10"/>
      <c r="M168" s="10"/>
      <c r="N168" s="12">
        <v>350</v>
      </c>
      <c r="O168" s="12">
        <v>178.37</v>
      </c>
      <c r="P168" s="12">
        <v>178.37</v>
      </c>
      <c r="Q168" s="12">
        <v>171.63</v>
      </c>
    </row>
    <row r="169" spans="1:17" hidden="1" x14ac:dyDescent="0.3">
      <c r="A169" s="8">
        <v>46079</v>
      </c>
      <c r="D169" s="11" t="s">
        <v>71</v>
      </c>
      <c r="E169" s="11" t="s">
        <v>1049</v>
      </c>
      <c r="G169" s="11" t="s">
        <v>73</v>
      </c>
      <c r="H169" s="11">
        <v>3</v>
      </c>
      <c r="I169" s="11" t="s">
        <v>234</v>
      </c>
      <c r="J169" s="12">
        <v>690</v>
      </c>
      <c r="K169" s="12">
        <v>2070</v>
      </c>
      <c r="L169" s="15">
        <v>1848.21</v>
      </c>
      <c r="M169" s="11">
        <v>221.79</v>
      </c>
      <c r="N169" s="10"/>
      <c r="O169" s="12">
        <v>395.83</v>
      </c>
      <c r="P169" s="12">
        <v>1187.49</v>
      </c>
      <c r="Q169" s="12">
        <v>882.51</v>
      </c>
    </row>
    <row r="170" spans="1:17" hidden="1" x14ac:dyDescent="0.3">
      <c r="A170" s="8">
        <v>46079</v>
      </c>
      <c r="D170" s="11" t="s">
        <v>71</v>
      </c>
      <c r="E170" s="11" t="s">
        <v>1050</v>
      </c>
      <c r="G170" s="11" t="s">
        <v>73</v>
      </c>
      <c r="H170" s="11">
        <v>1</v>
      </c>
      <c r="I170" s="11" t="s">
        <v>234</v>
      </c>
      <c r="J170" s="12">
        <v>690</v>
      </c>
      <c r="K170" s="12">
        <v>690</v>
      </c>
      <c r="L170" s="11">
        <v>616.07000000000005</v>
      </c>
      <c r="M170" s="11">
        <v>73.930000000000007</v>
      </c>
      <c r="N170" s="10"/>
      <c r="O170" s="12">
        <v>395.83</v>
      </c>
      <c r="P170" s="12">
        <v>395.83</v>
      </c>
      <c r="Q170" s="12">
        <v>294.17</v>
      </c>
    </row>
    <row r="171" spans="1:17" hidden="1" x14ac:dyDescent="0.3">
      <c r="A171" s="8">
        <v>46080</v>
      </c>
      <c r="D171" s="11" t="s">
        <v>1051</v>
      </c>
      <c r="E171" s="11" t="s">
        <v>1052</v>
      </c>
      <c r="G171" s="11" t="s">
        <v>907</v>
      </c>
      <c r="H171" s="11">
        <v>4</v>
      </c>
      <c r="I171" s="11" t="s">
        <v>100</v>
      </c>
      <c r="J171" s="12">
        <v>5500</v>
      </c>
      <c r="K171" s="12">
        <v>22000</v>
      </c>
      <c r="L171" s="10"/>
      <c r="M171" s="10"/>
      <c r="N171" s="12">
        <v>22000</v>
      </c>
      <c r="O171" s="12">
        <v>3731.54</v>
      </c>
      <c r="P171" s="12">
        <v>14926.16</v>
      </c>
      <c r="Q171" s="12">
        <v>7073.84</v>
      </c>
    </row>
    <row r="172" spans="1:17" hidden="1" x14ac:dyDescent="0.3">
      <c r="A172" s="8">
        <v>46080</v>
      </c>
      <c r="D172" s="11" t="s">
        <v>1051</v>
      </c>
      <c r="E172" s="11" t="s">
        <v>1052</v>
      </c>
      <c r="G172" s="11" t="s">
        <v>940</v>
      </c>
      <c r="H172" s="11">
        <v>5</v>
      </c>
      <c r="I172" s="11" t="s">
        <v>234</v>
      </c>
      <c r="J172" s="12">
        <v>300</v>
      </c>
      <c r="K172" s="12">
        <v>1500</v>
      </c>
      <c r="L172" s="15">
        <v>1339.29</v>
      </c>
      <c r="M172" s="11">
        <v>160.71</v>
      </c>
      <c r="N172" s="10"/>
      <c r="O172" s="12">
        <v>84.68</v>
      </c>
      <c r="P172" s="12">
        <v>423.4</v>
      </c>
      <c r="Q172" s="12">
        <v>1076.5999999999999</v>
      </c>
    </row>
    <row r="173" spans="1:17" hidden="1" x14ac:dyDescent="0.3">
      <c r="A173" s="8">
        <v>46080</v>
      </c>
      <c r="D173" s="11" t="s">
        <v>1051</v>
      </c>
      <c r="E173" s="11" t="s">
        <v>1052</v>
      </c>
      <c r="G173" s="11" t="s">
        <v>912</v>
      </c>
      <c r="H173" s="11">
        <v>5</v>
      </c>
      <c r="I173" s="11" t="s">
        <v>130</v>
      </c>
      <c r="J173" s="12">
        <v>150</v>
      </c>
      <c r="K173" s="12">
        <v>750</v>
      </c>
      <c r="L173" s="11">
        <v>669.64</v>
      </c>
      <c r="M173" s="11">
        <v>80.36</v>
      </c>
      <c r="N173" s="10"/>
      <c r="O173" s="12">
        <v>7.34</v>
      </c>
      <c r="P173" s="12">
        <v>36.71</v>
      </c>
      <c r="Q173" s="12">
        <v>713.29</v>
      </c>
    </row>
    <row r="174" spans="1:17" hidden="1" x14ac:dyDescent="0.3">
      <c r="A174" s="8">
        <v>46080</v>
      </c>
      <c r="D174" s="11" t="s">
        <v>1051</v>
      </c>
      <c r="E174" s="11" t="s">
        <v>1052</v>
      </c>
      <c r="G174" s="11" t="s">
        <v>1005</v>
      </c>
      <c r="H174" s="11">
        <v>1</v>
      </c>
      <c r="I174" s="11" t="s">
        <v>268</v>
      </c>
      <c r="J174" s="12">
        <v>300</v>
      </c>
      <c r="K174" s="12">
        <v>300</v>
      </c>
      <c r="L174" s="11">
        <v>267.86</v>
      </c>
      <c r="M174" s="11">
        <v>32.14</v>
      </c>
      <c r="N174" s="10"/>
      <c r="O174" s="12">
        <v>131.94999999999999</v>
      </c>
      <c r="P174" s="12">
        <v>131.94999999999999</v>
      </c>
      <c r="Q174" s="12">
        <v>168.05</v>
      </c>
    </row>
    <row r="175" spans="1:17" hidden="1" x14ac:dyDescent="0.3">
      <c r="A175" s="8">
        <v>46080</v>
      </c>
      <c r="D175" s="11" t="s">
        <v>1051</v>
      </c>
      <c r="E175" s="11" t="s">
        <v>1052</v>
      </c>
      <c r="G175" s="11" t="s">
        <v>107</v>
      </c>
      <c r="H175" s="11">
        <v>2</v>
      </c>
      <c r="I175" s="11" t="s">
        <v>74</v>
      </c>
      <c r="J175" s="12">
        <v>850</v>
      </c>
      <c r="K175" s="12">
        <v>1700</v>
      </c>
      <c r="L175" s="15">
        <v>1517.86</v>
      </c>
      <c r="M175" s="11">
        <v>182.14</v>
      </c>
      <c r="N175" s="10"/>
      <c r="O175" s="12">
        <v>583.33000000000004</v>
      </c>
      <c r="P175" s="12">
        <v>1166.6600000000001</v>
      </c>
      <c r="Q175" s="12">
        <v>533.34</v>
      </c>
    </row>
    <row r="176" spans="1:17" x14ac:dyDescent="0.3">
      <c r="A176" s="8">
        <v>46080</v>
      </c>
      <c r="D176" s="11" t="s">
        <v>1051</v>
      </c>
      <c r="E176" s="11" t="s">
        <v>1052</v>
      </c>
      <c r="G176" s="11" t="s">
        <v>933</v>
      </c>
      <c r="H176" s="11">
        <v>1</v>
      </c>
      <c r="I176" s="11" t="s">
        <v>183</v>
      </c>
      <c r="J176" s="12">
        <v>1500</v>
      </c>
      <c r="K176" s="12">
        <v>1500</v>
      </c>
      <c r="L176" s="10"/>
      <c r="M176" s="10"/>
      <c r="N176" s="12">
        <v>1500</v>
      </c>
      <c r="O176" s="10"/>
      <c r="P176" s="11" t="s">
        <v>922</v>
      </c>
      <c r="Q176" s="12">
        <v>1500</v>
      </c>
    </row>
    <row r="177" spans="1:17" hidden="1" x14ac:dyDescent="0.3">
      <c r="A177" s="8">
        <v>46080</v>
      </c>
      <c r="D177" s="11" t="s">
        <v>71</v>
      </c>
      <c r="E177" s="11" t="s">
        <v>1053</v>
      </c>
      <c r="G177" s="11" t="s">
        <v>907</v>
      </c>
      <c r="H177" s="11">
        <v>3</v>
      </c>
      <c r="I177" s="11" t="s">
        <v>77</v>
      </c>
      <c r="J177" s="12">
        <v>350</v>
      </c>
      <c r="K177" s="12">
        <v>1050</v>
      </c>
      <c r="L177" s="10"/>
      <c r="M177" s="10"/>
      <c r="N177" s="12">
        <v>1050</v>
      </c>
      <c r="O177" s="12">
        <v>178.37</v>
      </c>
      <c r="P177" s="12">
        <v>535.11</v>
      </c>
      <c r="Q177" s="12">
        <v>514.89</v>
      </c>
    </row>
    <row r="178" spans="1:17" hidden="1" x14ac:dyDescent="0.3">
      <c r="A178" s="8">
        <v>46080</v>
      </c>
      <c r="D178" s="11" t="s">
        <v>71</v>
      </c>
      <c r="E178" s="11" t="s">
        <v>1054</v>
      </c>
      <c r="G178" s="11" t="s">
        <v>940</v>
      </c>
      <c r="H178" s="11">
        <v>1</v>
      </c>
      <c r="I178" s="11" t="s">
        <v>74</v>
      </c>
      <c r="J178" s="12">
        <v>300</v>
      </c>
      <c r="K178" s="12">
        <v>300</v>
      </c>
      <c r="L178" s="11">
        <v>267.86</v>
      </c>
      <c r="M178" s="11">
        <v>32.14</v>
      </c>
      <c r="N178" s="10"/>
      <c r="O178" s="12">
        <v>84.68</v>
      </c>
      <c r="P178" s="12">
        <v>84.68</v>
      </c>
      <c r="Q178" s="12">
        <v>215.32</v>
      </c>
    </row>
    <row r="179" spans="1:17" hidden="1" x14ac:dyDescent="0.3">
      <c r="A179" s="8">
        <v>46080</v>
      </c>
      <c r="D179" s="11" t="s">
        <v>71</v>
      </c>
      <c r="E179" s="11" t="s">
        <v>1055</v>
      </c>
      <c r="G179" s="11" t="s">
        <v>897</v>
      </c>
      <c r="H179" s="11">
        <v>3</v>
      </c>
      <c r="I179" s="11" t="s">
        <v>365</v>
      </c>
      <c r="J179" s="12">
        <v>300</v>
      </c>
      <c r="K179" s="12">
        <v>900</v>
      </c>
      <c r="L179" s="11">
        <v>898.8</v>
      </c>
      <c r="M179" s="11">
        <v>107.86</v>
      </c>
      <c r="N179" s="10"/>
      <c r="O179" s="12">
        <v>119.01</v>
      </c>
      <c r="P179" s="12">
        <v>357.03</v>
      </c>
      <c r="Q179" s="12">
        <v>542.97</v>
      </c>
    </row>
    <row r="180" spans="1:17" hidden="1" x14ac:dyDescent="0.3">
      <c r="A180" s="8">
        <v>46080</v>
      </c>
      <c r="D180" s="11" t="s">
        <v>71</v>
      </c>
      <c r="E180" s="11" t="s">
        <v>1055</v>
      </c>
      <c r="G180" s="11" t="s">
        <v>1005</v>
      </c>
      <c r="H180" s="11">
        <v>1</v>
      </c>
      <c r="I180" s="11" t="s">
        <v>268</v>
      </c>
      <c r="J180" s="12">
        <v>300</v>
      </c>
      <c r="K180" s="12">
        <v>300</v>
      </c>
      <c r="L180" s="11">
        <v>267.86</v>
      </c>
      <c r="M180" s="11">
        <v>32.14</v>
      </c>
      <c r="N180" s="10"/>
      <c r="O180" s="12">
        <v>131.94999999999999</v>
      </c>
      <c r="P180" s="12">
        <v>131.94999999999999</v>
      </c>
      <c r="Q180" s="12">
        <v>168.05</v>
      </c>
    </row>
    <row r="181" spans="1:17" hidden="1" x14ac:dyDescent="0.3">
      <c r="A181" s="8">
        <v>46080</v>
      </c>
      <c r="D181" s="11" t="s">
        <v>71</v>
      </c>
      <c r="E181" s="11" t="s">
        <v>1056</v>
      </c>
      <c r="G181" s="11" t="s">
        <v>907</v>
      </c>
      <c r="H181" s="11">
        <v>1</v>
      </c>
      <c r="I181" s="11" t="s">
        <v>100</v>
      </c>
      <c r="J181" s="12">
        <v>6100</v>
      </c>
      <c r="K181" s="12">
        <v>6100</v>
      </c>
      <c r="L181" s="10"/>
      <c r="M181" s="10"/>
      <c r="N181" s="12">
        <v>6100</v>
      </c>
      <c r="O181" s="12">
        <v>3731.54</v>
      </c>
      <c r="P181" s="12">
        <v>3731.54</v>
      </c>
      <c r="Q181" s="12">
        <v>2368.46</v>
      </c>
    </row>
    <row r="182" spans="1:17" hidden="1" x14ac:dyDescent="0.3">
      <c r="A182" s="8">
        <v>46081</v>
      </c>
      <c r="D182" s="11" t="s">
        <v>71</v>
      </c>
      <c r="E182" s="11" t="s">
        <v>1057</v>
      </c>
      <c r="G182" s="11" t="s">
        <v>907</v>
      </c>
      <c r="H182" s="11">
        <v>1</v>
      </c>
      <c r="I182" s="11" t="s">
        <v>100</v>
      </c>
      <c r="J182" s="12">
        <v>6100</v>
      </c>
      <c r="K182" s="12">
        <v>6100</v>
      </c>
      <c r="L182" s="10"/>
      <c r="M182" s="10"/>
      <c r="N182" s="12">
        <v>6100</v>
      </c>
      <c r="O182" s="12">
        <v>3731.54</v>
      </c>
      <c r="P182" s="12">
        <v>3731.54</v>
      </c>
      <c r="Q182" s="12">
        <v>2368.46</v>
      </c>
    </row>
    <row r="183" spans="1:17" hidden="1" x14ac:dyDescent="0.3">
      <c r="A183" s="8">
        <v>46081</v>
      </c>
      <c r="D183" s="11" t="s">
        <v>71</v>
      </c>
      <c r="E183" s="11" t="s">
        <v>1058</v>
      </c>
      <c r="G183" s="11" t="s">
        <v>255</v>
      </c>
      <c r="H183" s="11">
        <v>4</v>
      </c>
      <c r="I183" s="11" t="s">
        <v>627</v>
      </c>
      <c r="J183" s="12">
        <v>350</v>
      </c>
      <c r="K183" s="12">
        <v>1400</v>
      </c>
      <c r="L183" s="15">
        <v>1250</v>
      </c>
      <c r="M183" s="11">
        <v>150</v>
      </c>
      <c r="N183" s="10"/>
      <c r="O183" s="12">
        <v>172.5</v>
      </c>
      <c r="P183" s="12">
        <v>690</v>
      </c>
      <c r="Q183" s="12">
        <v>710</v>
      </c>
    </row>
    <row r="184" spans="1:17" hidden="1" x14ac:dyDescent="0.3">
      <c r="A184" s="8">
        <v>46081</v>
      </c>
      <c r="D184" s="11" t="s">
        <v>71</v>
      </c>
      <c r="E184" s="11" t="s">
        <v>1059</v>
      </c>
      <c r="G184" s="11" t="s">
        <v>73</v>
      </c>
      <c r="H184" s="11">
        <v>4</v>
      </c>
      <c r="I184" s="11" t="s">
        <v>234</v>
      </c>
      <c r="J184" s="12">
        <v>690</v>
      </c>
      <c r="K184" s="12">
        <v>2760</v>
      </c>
      <c r="L184" s="15">
        <v>2464.29</v>
      </c>
      <c r="M184" s="11">
        <v>295.70999999999998</v>
      </c>
      <c r="N184" s="10"/>
      <c r="O184" s="12">
        <v>395.83</v>
      </c>
      <c r="P184" s="12">
        <v>1583.32</v>
      </c>
      <c r="Q184" s="12">
        <v>1176.68</v>
      </c>
    </row>
    <row r="185" spans="1:17" hidden="1" x14ac:dyDescent="0.3">
      <c r="A185" s="8">
        <v>46081</v>
      </c>
      <c r="D185" s="11" t="s">
        <v>71</v>
      </c>
      <c r="E185" s="11" t="s">
        <v>1060</v>
      </c>
      <c r="G185" s="11" t="s">
        <v>73</v>
      </c>
      <c r="H185" s="11">
        <v>1</v>
      </c>
      <c r="I185" s="11" t="s">
        <v>74</v>
      </c>
      <c r="J185" s="12">
        <v>690</v>
      </c>
      <c r="K185" s="12">
        <v>690</v>
      </c>
      <c r="L185" s="11">
        <v>616.07000000000005</v>
      </c>
      <c r="M185" s="11">
        <v>73.930000000000007</v>
      </c>
      <c r="N185" s="10"/>
      <c r="O185" s="12">
        <v>395.83</v>
      </c>
      <c r="P185" s="12">
        <v>395.83</v>
      </c>
      <c r="Q185" s="12">
        <v>294.17</v>
      </c>
    </row>
    <row r="186" spans="1:17" hidden="1" x14ac:dyDescent="0.3">
      <c r="A186" s="8">
        <v>46081</v>
      </c>
      <c r="D186" s="11" t="s">
        <v>71</v>
      </c>
      <c r="E186" s="11" t="s">
        <v>1061</v>
      </c>
      <c r="G186" s="11" t="s">
        <v>370</v>
      </c>
      <c r="H186" s="11">
        <v>1</v>
      </c>
      <c r="I186" s="11" t="s">
        <v>74</v>
      </c>
      <c r="J186" s="12">
        <v>1310</v>
      </c>
      <c r="K186" s="12">
        <v>1310</v>
      </c>
      <c r="L186" s="15">
        <v>1308.8</v>
      </c>
      <c r="M186" s="11">
        <v>157.06</v>
      </c>
      <c r="N186" s="10"/>
      <c r="O186" s="12">
        <v>880</v>
      </c>
      <c r="P186" s="12">
        <v>880</v>
      </c>
      <c r="Q186" s="12">
        <v>430</v>
      </c>
    </row>
    <row r="187" spans="1:17" hidden="1" x14ac:dyDescent="0.3">
      <c r="L187" t="s">
        <v>1062</v>
      </c>
      <c r="N187" t="s">
        <v>1063</v>
      </c>
      <c r="P187" t="s">
        <v>1064</v>
      </c>
    </row>
    <row r="188" spans="1:17" hidden="1" x14ac:dyDescent="0.3">
      <c r="L188">
        <f>SUM(L2:L186)</f>
        <v>449008.19757139985</v>
      </c>
      <c r="N188">
        <f>SUM(N2:N186)</f>
        <v>1024140</v>
      </c>
      <c r="P188" s="55">
        <f>SUM(P2:P186)</f>
        <v>987170.07000000018</v>
      </c>
    </row>
  </sheetData>
  <autoFilter ref="G1:G188" xr:uid="{21DA079A-99A1-6646-8B96-5038ACA25398}">
    <filterColumn colId="0">
      <filters>
        <filter val="SHIPPINGFEE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A76A5-0D02-6F47-A831-12FB6501A393}">
  <sheetPr filterMode="1"/>
  <dimension ref="A1:AA187"/>
  <sheetViews>
    <sheetView topLeftCell="B1" workbookViewId="0">
      <selection activeCell="L1" sqref="L1"/>
    </sheetView>
  </sheetViews>
  <sheetFormatPr defaultColWidth="11.5546875" defaultRowHeight="14.4" x14ac:dyDescent="0.3"/>
  <cols>
    <col min="16" max="16" width="15.77734375" customWidth="1"/>
  </cols>
  <sheetData>
    <row r="1" spans="1:27" x14ac:dyDescent="0.3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s="24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</row>
    <row r="2" spans="1:27" hidden="1" x14ac:dyDescent="0.3">
      <c r="A2" s="8">
        <v>46023</v>
      </c>
      <c r="B2" s="8"/>
      <c r="C2" s="10"/>
      <c r="D2" s="11" t="s">
        <v>71</v>
      </c>
      <c r="E2" s="11" t="s">
        <v>72</v>
      </c>
      <c r="F2" s="10"/>
      <c r="G2" s="11" t="s">
        <v>73</v>
      </c>
      <c r="H2" s="11">
        <v>1</v>
      </c>
      <c r="I2" s="11" t="s">
        <v>74</v>
      </c>
      <c r="J2" s="25">
        <v>655</v>
      </c>
      <c r="K2" s="12">
        <v>655</v>
      </c>
      <c r="L2" s="11">
        <v>584.82000000000005</v>
      </c>
      <c r="M2" s="11">
        <v>70.180000000000007</v>
      </c>
      <c r="N2" s="10"/>
      <c r="O2" s="12">
        <v>395.83</v>
      </c>
      <c r="P2" s="12">
        <v>395.83</v>
      </c>
      <c r="Q2" s="12">
        <v>259.17</v>
      </c>
      <c r="R2" s="11" t="s">
        <v>52</v>
      </c>
      <c r="S2" s="10"/>
      <c r="T2" s="10"/>
      <c r="U2" s="11" t="s">
        <v>71</v>
      </c>
      <c r="V2" s="10"/>
      <c r="W2" s="10"/>
      <c r="X2" s="10"/>
      <c r="Y2" s="10"/>
      <c r="Z2" s="10"/>
      <c r="AA2" s="10"/>
    </row>
    <row r="3" spans="1:27" hidden="1" x14ac:dyDescent="0.3">
      <c r="A3" s="8">
        <v>46023</v>
      </c>
      <c r="B3" s="8"/>
      <c r="C3" s="10"/>
      <c r="D3" s="11" t="s">
        <v>71</v>
      </c>
      <c r="E3" s="11" t="s">
        <v>75</v>
      </c>
      <c r="F3" s="10"/>
      <c r="G3" s="11" t="s">
        <v>878</v>
      </c>
      <c r="H3" s="11">
        <v>3</v>
      </c>
      <c r="I3" s="11" t="s">
        <v>77</v>
      </c>
      <c r="J3" s="25">
        <v>340</v>
      </c>
      <c r="K3" s="12">
        <v>1020</v>
      </c>
      <c r="L3" s="10"/>
      <c r="M3" s="10"/>
      <c r="N3" s="12">
        <v>1020</v>
      </c>
      <c r="O3" s="12">
        <v>175.33</v>
      </c>
      <c r="P3" s="12">
        <v>525.99</v>
      </c>
      <c r="Q3" s="12">
        <v>494.01</v>
      </c>
      <c r="R3" s="11" t="s">
        <v>52</v>
      </c>
      <c r="S3" s="10"/>
      <c r="T3" s="10"/>
      <c r="U3" s="11" t="s">
        <v>71</v>
      </c>
      <c r="V3" s="11" t="s">
        <v>78</v>
      </c>
      <c r="W3" s="11" t="s">
        <v>79</v>
      </c>
      <c r="X3" s="10"/>
      <c r="Y3" s="10"/>
      <c r="Z3" s="10"/>
      <c r="AA3" s="10"/>
    </row>
    <row r="4" spans="1:27" hidden="1" x14ac:dyDescent="0.3">
      <c r="A4" s="8">
        <v>46024</v>
      </c>
      <c r="B4" s="8"/>
      <c r="C4" s="10"/>
      <c r="D4" s="11" t="s">
        <v>71</v>
      </c>
      <c r="E4" s="11" t="s">
        <v>81</v>
      </c>
      <c r="F4" s="10"/>
      <c r="G4" s="11" t="s">
        <v>73</v>
      </c>
      <c r="H4" s="11">
        <v>1</v>
      </c>
      <c r="I4" s="11" t="s">
        <v>74</v>
      </c>
      <c r="J4" s="25">
        <v>655</v>
      </c>
      <c r="K4" s="12">
        <v>655</v>
      </c>
      <c r="L4" s="11">
        <v>584.82000000000005</v>
      </c>
      <c r="M4" s="11">
        <v>70.180000000000007</v>
      </c>
      <c r="N4" s="10"/>
      <c r="O4" s="12">
        <v>395.83</v>
      </c>
      <c r="P4" s="12">
        <v>395.83</v>
      </c>
      <c r="Q4" s="12">
        <v>259.17</v>
      </c>
      <c r="R4" s="11" t="s">
        <v>52</v>
      </c>
      <c r="S4" s="10"/>
      <c r="T4" s="10"/>
      <c r="U4" s="11" t="s">
        <v>71</v>
      </c>
      <c r="V4" s="11" t="s">
        <v>82</v>
      </c>
      <c r="W4" s="11" t="s">
        <v>83</v>
      </c>
      <c r="X4" s="10"/>
      <c r="Y4" s="10"/>
      <c r="Z4" s="10"/>
      <c r="AA4" s="10"/>
    </row>
    <row r="5" spans="1:27" hidden="1" x14ac:dyDescent="0.3">
      <c r="A5" s="8">
        <v>46024</v>
      </c>
      <c r="B5" s="8"/>
      <c r="C5" s="10"/>
      <c r="D5" s="11" t="s">
        <v>71</v>
      </c>
      <c r="E5" s="11" t="s">
        <v>84</v>
      </c>
      <c r="F5" s="10"/>
      <c r="G5" s="11" t="s">
        <v>85</v>
      </c>
      <c r="H5" s="11">
        <v>1</v>
      </c>
      <c r="I5" s="11" t="s">
        <v>86</v>
      </c>
      <c r="J5" s="25">
        <v>560</v>
      </c>
      <c r="K5" s="12">
        <v>560</v>
      </c>
      <c r="L5" s="11">
        <v>500</v>
      </c>
      <c r="M5" s="11">
        <v>60</v>
      </c>
      <c r="N5" s="10"/>
      <c r="O5" s="12">
        <v>218.56</v>
      </c>
      <c r="P5" s="12">
        <v>218.56</v>
      </c>
      <c r="Q5" s="12">
        <v>341.44</v>
      </c>
      <c r="R5" s="11" t="s">
        <v>52</v>
      </c>
      <c r="S5" s="10"/>
      <c r="T5" s="10"/>
      <c r="U5" s="11" t="s">
        <v>71</v>
      </c>
      <c r="V5" s="11" t="s">
        <v>87</v>
      </c>
      <c r="W5" s="11" t="s">
        <v>88</v>
      </c>
      <c r="X5" s="10"/>
      <c r="Y5" s="10"/>
      <c r="Z5" s="10"/>
      <c r="AA5" s="10"/>
    </row>
    <row r="6" spans="1:27" hidden="1" x14ac:dyDescent="0.3">
      <c r="A6" s="8">
        <v>46024</v>
      </c>
      <c r="B6" s="8"/>
      <c r="C6" s="10"/>
      <c r="D6" s="11" t="s">
        <v>89</v>
      </c>
      <c r="E6" s="11" t="s">
        <v>90</v>
      </c>
      <c r="F6" s="10"/>
      <c r="G6" s="11" t="s">
        <v>877</v>
      </c>
      <c r="H6" s="11">
        <v>3</v>
      </c>
      <c r="I6" s="11" t="s">
        <v>100</v>
      </c>
      <c r="J6" s="25">
        <v>5500</v>
      </c>
      <c r="K6" s="12">
        <v>16500</v>
      </c>
      <c r="L6" s="10"/>
      <c r="M6" s="10"/>
      <c r="N6" s="12">
        <v>16500</v>
      </c>
      <c r="O6" s="12">
        <v>3655.8</v>
      </c>
      <c r="P6" s="12">
        <v>10967.4</v>
      </c>
      <c r="Q6" s="12">
        <v>5532.6</v>
      </c>
      <c r="R6" s="11" t="s">
        <v>52</v>
      </c>
      <c r="S6" s="10"/>
      <c r="T6" s="10"/>
      <c r="U6" s="11" t="s">
        <v>89</v>
      </c>
      <c r="V6" s="10"/>
      <c r="W6" s="10"/>
      <c r="X6" s="10"/>
      <c r="Y6" s="10"/>
      <c r="Z6" s="10"/>
      <c r="AA6" s="10"/>
    </row>
    <row r="7" spans="1:27" hidden="1" x14ac:dyDescent="0.3">
      <c r="A7" s="8">
        <v>46024</v>
      </c>
      <c r="B7" s="8"/>
      <c r="C7" s="10"/>
      <c r="D7" s="11" t="s">
        <v>71</v>
      </c>
      <c r="E7" s="11" t="s">
        <v>92</v>
      </c>
      <c r="F7" s="10"/>
      <c r="G7" s="11" t="s">
        <v>878</v>
      </c>
      <c r="H7" s="11">
        <v>10</v>
      </c>
      <c r="I7" s="11" t="s">
        <v>77</v>
      </c>
      <c r="J7" s="25">
        <v>340</v>
      </c>
      <c r="K7" s="12">
        <v>3400</v>
      </c>
      <c r="L7" s="10"/>
      <c r="M7" s="10"/>
      <c r="N7" s="12">
        <v>3400</v>
      </c>
      <c r="O7" s="12">
        <v>175.33</v>
      </c>
      <c r="P7" s="12">
        <v>1753.3</v>
      </c>
      <c r="Q7" s="12">
        <v>1646.7</v>
      </c>
      <c r="R7" s="11" t="s">
        <v>52</v>
      </c>
      <c r="S7" s="10"/>
      <c r="T7" s="10"/>
      <c r="U7" s="11" t="s">
        <v>71</v>
      </c>
      <c r="V7" s="11" t="s">
        <v>93</v>
      </c>
      <c r="W7" s="11" t="s">
        <v>94</v>
      </c>
      <c r="X7" s="10"/>
      <c r="Y7" s="10"/>
      <c r="Z7" s="10"/>
      <c r="AA7" s="10"/>
    </row>
    <row r="8" spans="1:27" hidden="1" x14ac:dyDescent="0.3">
      <c r="A8" s="8">
        <v>46024</v>
      </c>
      <c r="B8" s="8"/>
      <c r="C8" s="10"/>
      <c r="D8" s="11" t="s">
        <v>71</v>
      </c>
      <c r="E8" s="11" t="s">
        <v>95</v>
      </c>
      <c r="F8" s="10"/>
      <c r="G8" s="11" t="s">
        <v>878</v>
      </c>
      <c r="H8" s="11">
        <v>3</v>
      </c>
      <c r="I8" s="11" t="s">
        <v>77</v>
      </c>
      <c r="J8" s="25">
        <v>340</v>
      </c>
      <c r="K8" s="12">
        <v>1020</v>
      </c>
      <c r="L8" s="10"/>
      <c r="M8" s="10"/>
      <c r="N8" s="12">
        <v>1020</v>
      </c>
      <c r="O8" s="12">
        <v>175.33</v>
      </c>
      <c r="P8" s="12">
        <v>525.99</v>
      </c>
      <c r="Q8" s="12">
        <v>494.01</v>
      </c>
      <c r="R8" s="11" t="s">
        <v>52</v>
      </c>
      <c r="S8" s="10"/>
      <c r="T8" s="10"/>
      <c r="U8" s="11" t="s">
        <v>71</v>
      </c>
      <c r="V8" s="11" t="s">
        <v>96</v>
      </c>
      <c r="W8" s="11" t="s">
        <v>97</v>
      </c>
      <c r="X8" s="10"/>
      <c r="Y8" s="10"/>
      <c r="Z8" s="10"/>
      <c r="AA8" s="10"/>
    </row>
    <row r="9" spans="1:27" hidden="1" x14ac:dyDescent="0.3">
      <c r="A9" s="8">
        <v>46024</v>
      </c>
      <c r="B9" s="8"/>
      <c r="C9" s="10"/>
      <c r="D9" s="11" t="s">
        <v>98</v>
      </c>
      <c r="E9" s="11" t="s">
        <v>50</v>
      </c>
      <c r="F9" s="10"/>
      <c r="G9" s="11" t="s">
        <v>878</v>
      </c>
      <c r="H9" s="11">
        <v>32</v>
      </c>
      <c r="I9" s="11" t="s">
        <v>77</v>
      </c>
      <c r="J9" s="25">
        <v>234.375</v>
      </c>
      <c r="K9" s="12">
        <v>7500</v>
      </c>
      <c r="L9" s="10"/>
      <c r="M9" s="10"/>
      <c r="N9" s="12">
        <v>7500</v>
      </c>
      <c r="O9" s="12">
        <v>175.33</v>
      </c>
      <c r="P9" s="12">
        <v>5610.56</v>
      </c>
      <c r="Q9" s="12">
        <v>1889.44</v>
      </c>
      <c r="R9" s="11" t="s">
        <v>52</v>
      </c>
      <c r="S9" s="10"/>
      <c r="T9" s="10"/>
      <c r="U9" s="11" t="s">
        <v>71</v>
      </c>
      <c r="V9" s="10"/>
      <c r="W9" s="10"/>
      <c r="X9" s="10"/>
      <c r="Y9" s="10"/>
      <c r="Z9" s="10"/>
      <c r="AA9" s="10"/>
    </row>
    <row r="10" spans="1:27" hidden="1" x14ac:dyDescent="0.3">
      <c r="A10" s="8">
        <v>46025</v>
      </c>
      <c r="B10" s="8"/>
      <c r="C10" s="10"/>
      <c r="D10" s="11" t="s">
        <v>71</v>
      </c>
      <c r="E10" s="11" t="s">
        <v>99</v>
      </c>
      <c r="F10" s="10"/>
      <c r="G10" s="11" t="s">
        <v>877</v>
      </c>
      <c r="H10" s="11">
        <v>1</v>
      </c>
      <c r="I10" s="11" t="s">
        <v>100</v>
      </c>
      <c r="J10" s="25">
        <v>6100</v>
      </c>
      <c r="K10" s="12">
        <v>6100</v>
      </c>
      <c r="L10" s="10"/>
      <c r="M10" s="10"/>
      <c r="N10" s="12">
        <v>6100</v>
      </c>
      <c r="O10" s="12">
        <v>3655.8</v>
      </c>
      <c r="P10" s="12">
        <v>3655.8</v>
      </c>
      <c r="Q10" s="12">
        <v>2444.1999999999998</v>
      </c>
      <c r="R10" s="11" t="s">
        <v>52</v>
      </c>
      <c r="S10" s="10"/>
      <c r="T10" s="10"/>
      <c r="U10" s="11" t="s">
        <v>71</v>
      </c>
      <c r="V10" s="11" t="s">
        <v>101</v>
      </c>
      <c r="W10" s="11" t="s">
        <v>102</v>
      </c>
      <c r="X10" s="10"/>
      <c r="Y10" s="10"/>
      <c r="Z10" s="10"/>
      <c r="AA10" s="10"/>
    </row>
    <row r="11" spans="1:27" hidden="1" x14ac:dyDescent="0.3">
      <c r="A11" s="8">
        <v>46025</v>
      </c>
      <c r="B11" s="8"/>
      <c r="C11" s="10"/>
      <c r="D11" s="11" t="s">
        <v>71</v>
      </c>
      <c r="E11" s="11" t="s">
        <v>103</v>
      </c>
      <c r="F11" s="10"/>
      <c r="G11" s="11" t="s">
        <v>878</v>
      </c>
      <c r="H11" s="11">
        <v>2</v>
      </c>
      <c r="I11" s="11" t="s">
        <v>77</v>
      </c>
      <c r="J11" s="25">
        <v>340</v>
      </c>
      <c r="K11" s="12">
        <v>680</v>
      </c>
      <c r="L11" s="10"/>
      <c r="M11" s="10"/>
      <c r="N11" s="12">
        <v>680</v>
      </c>
      <c r="O11" s="12">
        <v>175.33</v>
      </c>
      <c r="P11" s="12">
        <v>350.66</v>
      </c>
      <c r="Q11" s="12">
        <v>329.34</v>
      </c>
      <c r="R11" s="11" t="s">
        <v>52</v>
      </c>
      <c r="S11" s="10"/>
      <c r="T11" s="10"/>
      <c r="U11" s="11" t="s">
        <v>71</v>
      </c>
      <c r="V11" s="11" t="s">
        <v>104</v>
      </c>
      <c r="W11" s="11" t="s">
        <v>105</v>
      </c>
      <c r="X11" s="10"/>
      <c r="Y11" s="10"/>
      <c r="Z11" s="10"/>
      <c r="AA11" s="10"/>
    </row>
    <row r="12" spans="1:27" hidden="1" x14ac:dyDescent="0.3">
      <c r="A12" s="8">
        <v>46025</v>
      </c>
      <c r="B12" s="8"/>
      <c r="C12" s="10"/>
      <c r="D12" s="11" t="s">
        <v>71</v>
      </c>
      <c r="E12" s="11" t="s">
        <v>106</v>
      </c>
      <c r="F12" s="10"/>
      <c r="G12" s="11" t="s">
        <v>107</v>
      </c>
      <c r="H12" s="11">
        <v>1</v>
      </c>
      <c r="I12" s="11" t="s">
        <v>74</v>
      </c>
      <c r="J12" s="25">
        <v>850</v>
      </c>
      <c r="K12" s="12">
        <v>850</v>
      </c>
      <c r="L12" s="11">
        <v>758.93</v>
      </c>
      <c r="M12" s="11">
        <v>91.07</v>
      </c>
      <c r="N12" s="10"/>
      <c r="O12" s="12">
        <v>583.33000000000004</v>
      </c>
      <c r="P12" s="12">
        <v>583.33000000000004</v>
      </c>
      <c r="Q12" s="12">
        <v>266.67</v>
      </c>
      <c r="R12" s="11" t="s">
        <v>52</v>
      </c>
      <c r="S12" s="10"/>
      <c r="T12" s="10"/>
      <c r="U12" s="11" t="s">
        <v>71</v>
      </c>
      <c r="V12" s="11" t="s">
        <v>108</v>
      </c>
      <c r="W12" s="11" t="s">
        <v>109</v>
      </c>
      <c r="X12" s="10"/>
      <c r="Y12" s="10"/>
      <c r="Z12" s="10"/>
      <c r="AA12" s="10"/>
    </row>
    <row r="13" spans="1:27" hidden="1" x14ac:dyDescent="0.3">
      <c r="A13" s="8">
        <v>46025</v>
      </c>
      <c r="B13" s="8"/>
      <c r="C13" s="10"/>
      <c r="D13" s="11" t="s">
        <v>71</v>
      </c>
      <c r="E13" s="11" t="s">
        <v>110</v>
      </c>
      <c r="F13" s="10"/>
      <c r="G13" s="11" t="s">
        <v>111</v>
      </c>
      <c r="H13" s="11">
        <v>2</v>
      </c>
      <c r="I13" s="11" t="s">
        <v>74</v>
      </c>
      <c r="J13" s="25">
        <v>1249</v>
      </c>
      <c r="K13" s="12">
        <v>2498</v>
      </c>
      <c r="L13" s="15">
        <v>2230.36</v>
      </c>
      <c r="M13" s="11">
        <v>267.64</v>
      </c>
      <c r="N13" s="10"/>
      <c r="O13" s="12">
        <v>870</v>
      </c>
      <c r="P13" s="12">
        <v>1740</v>
      </c>
      <c r="Q13" s="12">
        <v>758</v>
      </c>
      <c r="R13" s="11" t="s">
        <v>52</v>
      </c>
      <c r="S13" s="10"/>
      <c r="T13" s="10"/>
      <c r="U13" s="11" t="s">
        <v>71</v>
      </c>
      <c r="V13" s="11" t="s">
        <v>112</v>
      </c>
      <c r="W13" s="11" t="s">
        <v>113</v>
      </c>
      <c r="X13" s="10"/>
      <c r="Y13" s="10"/>
      <c r="Z13" s="10"/>
      <c r="AA13" s="10"/>
    </row>
    <row r="14" spans="1:27" hidden="1" x14ac:dyDescent="0.3">
      <c r="A14" s="8">
        <v>46025</v>
      </c>
      <c r="B14" s="8"/>
      <c r="C14" s="10"/>
      <c r="D14" s="11" t="s">
        <v>71</v>
      </c>
      <c r="E14" s="11" t="s">
        <v>114</v>
      </c>
      <c r="F14" s="10"/>
      <c r="G14" s="11" t="s">
        <v>878</v>
      </c>
      <c r="H14" s="11">
        <v>3</v>
      </c>
      <c r="I14" s="11" t="s">
        <v>77</v>
      </c>
      <c r="J14" s="25">
        <v>340</v>
      </c>
      <c r="K14" s="12">
        <v>1020</v>
      </c>
      <c r="L14" s="10"/>
      <c r="M14" s="10"/>
      <c r="N14" s="12">
        <v>1020</v>
      </c>
      <c r="O14" s="12">
        <v>175.33</v>
      </c>
      <c r="P14" s="12">
        <v>525.99</v>
      </c>
      <c r="Q14" s="12">
        <v>494.01</v>
      </c>
      <c r="R14" s="11" t="s">
        <v>52</v>
      </c>
      <c r="S14" s="10"/>
      <c r="T14" s="10"/>
      <c r="U14" s="11" t="s">
        <v>71</v>
      </c>
      <c r="V14" s="11" t="s">
        <v>115</v>
      </c>
      <c r="W14" s="11" t="s">
        <v>116</v>
      </c>
      <c r="X14" s="10"/>
      <c r="Y14" s="10"/>
      <c r="Z14" s="10"/>
      <c r="AA14" s="10"/>
    </row>
    <row r="15" spans="1:27" hidden="1" x14ac:dyDescent="0.3">
      <c r="A15" s="8">
        <v>46025</v>
      </c>
      <c r="B15" s="8"/>
      <c r="C15" s="10"/>
      <c r="D15" s="10"/>
      <c r="E15" s="11" t="s">
        <v>117</v>
      </c>
      <c r="F15" s="10"/>
      <c r="G15" s="11" t="s">
        <v>877</v>
      </c>
      <c r="H15" s="11">
        <v>1</v>
      </c>
      <c r="I15" s="11" t="s">
        <v>100</v>
      </c>
      <c r="J15" s="25">
        <v>5500</v>
      </c>
      <c r="K15" s="12">
        <v>5500</v>
      </c>
      <c r="L15" s="10"/>
      <c r="M15" s="10"/>
      <c r="N15" s="12">
        <v>5500</v>
      </c>
      <c r="O15" s="12">
        <v>3655.8</v>
      </c>
      <c r="P15" s="12">
        <v>3655.8</v>
      </c>
      <c r="Q15" s="12">
        <v>1844.2</v>
      </c>
      <c r="R15" s="11" t="s">
        <v>52</v>
      </c>
      <c r="S15" s="10"/>
      <c r="T15" s="10"/>
      <c r="U15" s="10"/>
      <c r="V15" s="10"/>
      <c r="W15" s="10"/>
      <c r="X15" s="10"/>
      <c r="Y15" s="10"/>
      <c r="Z15" s="10"/>
      <c r="AA15" s="10"/>
    </row>
    <row r="16" spans="1:27" hidden="1" x14ac:dyDescent="0.3">
      <c r="A16" s="8">
        <v>46026</v>
      </c>
      <c r="B16" s="8"/>
      <c r="C16" s="10"/>
      <c r="D16" s="11" t="s">
        <v>71</v>
      </c>
      <c r="E16" s="11" t="s">
        <v>75</v>
      </c>
      <c r="F16" s="10"/>
      <c r="G16" s="11" t="s">
        <v>878</v>
      </c>
      <c r="H16" s="11">
        <v>3</v>
      </c>
      <c r="I16" s="11" t="s">
        <v>77</v>
      </c>
      <c r="J16" s="25">
        <v>340</v>
      </c>
      <c r="K16" s="12">
        <v>1020</v>
      </c>
      <c r="L16" s="10"/>
      <c r="M16" s="10"/>
      <c r="N16" s="12">
        <v>1020</v>
      </c>
      <c r="O16" s="12">
        <v>175.33</v>
      </c>
      <c r="P16" s="12">
        <v>525.99</v>
      </c>
      <c r="Q16" s="12">
        <v>494.01</v>
      </c>
      <c r="R16" s="11" t="s">
        <v>52</v>
      </c>
      <c r="S16" s="10"/>
      <c r="T16" s="10"/>
      <c r="U16" s="11" t="s">
        <v>71</v>
      </c>
      <c r="V16" s="11" t="s">
        <v>78</v>
      </c>
      <c r="W16" s="11" t="s">
        <v>79</v>
      </c>
      <c r="X16" s="10"/>
      <c r="Y16" s="10"/>
      <c r="Z16" s="10"/>
      <c r="AA16" s="10"/>
    </row>
    <row r="17" spans="1:27" hidden="1" x14ac:dyDescent="0.3">
      <c r="A17" s="8">
        <v>46026</v>
      </c>
      <c r="B17" s="8"/>
      <c r="C17" s="10"/>
      <c r="D17" s="11" t="s">
        <v>71</v>
      </c>
      <c r="E17" s="11" t="s">
        <v>118</v>
      </c>
      <c r="F17" s="10"/>
      <c r="G17" s="11" t="s">
        <v>878</v>
      </c>
      <c r="H17" s="11">
        <v>2</v>
      </c>
      <c r="I17" s="11" t="s">
        <v>77</v>
      </c>
      <c r="J17" s="25">
        <v>340</v>
      </c>
      <c r="K17" s="12">
        <v>680</v>
      </c>
      <c r="L17" s="10"/>
      <c r="M17" s="10"/>
      <c r="N17" s="12">
        <v>680</v>
      </c>
      <c r="O17" s="12">
        <v>175.33</v>
      </c>
      <c r="P17" s="12">
        <v>350.66</v>
      </c>
      <c r="Q17" s="12">
        <v>329.34</v>
      </c>
      <c r="R17" s="11" t="s">
        <v>52</v>
      </c>
      <c r="S17" s="10"/>
      <c r="T17" s="10"/>
      <c r="U17" s="11" t="s">
        <v>71</v>
      </c>
      <c r="V17" s="11" t="s">
        <v>119</v>
      </c>
      <c r="W17" s="11" t="s">
        <v>120</v>
      </c>
      <c r="X17" s="10"/>
      <c r="Y17" s="10"/>
      <c r="Z17" s="10"/>
      <c r="AA17" s="10"/>
    </row>
    <row r="18" spans="1:27" hidden="1" x14ac:dyDescent="0.3">
      <c r="A18" s="8">
        <v>46026</v>
      </c>
      <c r="B18" s="8"/>
      <c r="C18" s="10"/>
      <c r="D18" s="11" t="s">
        <v>71</v>
      </c>
      <c r="E18" s="11" t="s">
        <v>121</v>
      </c>
      <c r="F18" s="10"/>
      <c r="G18" s="11" t="s">
        <v>122</v>
      </c>
      <c r="H18" s="11">
        <v>2</v>
      </c>
      <c r="I18" s="11" t="s">
        <v>74</v>
      </c>
      <c r="J18" s="25">
        <v>655</v>
      </c>
      <c r="K18" s="12">
        <v>1310</v>
      </c>
      <c r="L18" s="15">
        <v>1169.6400000000001</v>
      </c>
      <c r="M18" s="11">
        <v>140.36000000000001</v>
      </c>
      <c r="N18" s="10"/>
      <c r="O18" s="12">
        <v>425</v>
      </c>
      <c r="P18" s="12">
        <v>850</v>
      </c>
      <c r="Q18" s="12">
        <v>460</v>
      </c>
      <c r="R18" s="11" t="s">
        <v>52</v>
      </c>
      <c r="S18" s="10"/>
      <c r="T18" s="10"/>
      <c r="U18" s="11" t="s">
        <v>71</v>
      </c>
      <c r="V18" s="11" t="s">
        <v>123</v>
      </c>
      <c r="W18" s="11" t="s">
        <v>124</v>
      </c>
      <c r="X18" s="10"/>
      <c r="Y18" s="10"/>
      <c r="Z18" s="10"/>
      <c r="AA18" s="10"/>
    </row>
    <row r="19" spans="1:27" hidden="1" x14ac:dyDescent="0.3">
      <c r="A19" s="8">
        <v>46026</v>
      </c>
      <c r="B19" s="8"/>
      <c r="C19" s="10"/>
      <c r="D19" s="11" t="s">
        <v>71</v>
      </c>
      <c r="E19" s="11" t="s">
        <v>125</v>
      </c>
      <c r="F19" s="10"/>
      <c r="G19" s="11" t="s">
        <v>878</v>
      </c>
      <c r="H19" s="11">
        <v>1</v>
      </c>
      <c r="I19" s="11" t="s">
        <v>77</v>
      </c>
      <c r="J19" s="25">
        <v>340</v>
      </c>
      <c r="K19" s="12">
        <v>340</v>
      </c>
      <c r="L19" s="10"/>
      <c r="M19" s="10"/>
      <c r="N19" s="12">
        <v>340</v>
      </c>
      <c r="O19" s="12">
        <v>175.33</v>
      </c>
      <c r="P19" s="12">
        <v>175.33</v>
      </c>
      <c r="Q19" s="12">
        <v>164.67</v>
      </c>
      <c r="R19" s="11" t="s">
        <v>52</v>
      </c>
      <c r="S19" s="10"/>
      <c r="T19" s="10"/>
      <c r="U19" s="11" t="s">
        <v>71</v>
      </c>
      <c r="V19" s="11" t="s">
        <v>126</v>
      </c>
      <c r="W19" s="11" t="s">
        <v>127</v>
      </c>
      <c r="X19" s="10"/>
      <c r="Y19" s="10"/>
      <c r="Z19" s="10"/>
      <c r="AA19" s="10"/>
    </row>
    <row r="20" spans="1:27" hidden="1" x14ac:dyDescent="0.3">
      <c r="A20" s="8">
        <v>46027</v>
      </c>
      <c r="B20" s="8"/>
      <c r="C20" s="10"/>
      <c r="D20" s="11" t="s">
        <v>71</v>
      </c>
      <c r="E20" s="11" t="s">
        <v>128</v>
      </c>
      <c r="F20" s="10"/>
      <c r="G20" s="11" t="s">
        <v>129</v>
      </c>
      <c r="H20" s="11">
        <v>4</v>
      </c>
      <c r="I20" s="11" t="s">
        <v>130</v>
      </c>
      <c r="J20" s="25">
        <v>68.5</v>
      </c>
      <c r="K20" s="12">
        <v>274</v>
      </c>
      <c r="L20" s="11">
        <v>244.64</v>
      </c>
      <c r="M20" s="11">
        <v>29.36</v>
      </c>
      <c r="N20" s="10"/>
      <c r="O20" s="12">
        <v>20.97</v>
      </c>
      <c r="P20" s="12">
        <v>83.88</v>
      </c>
      <c r="Q20" s="12">
        <v>190.12</v>
      </c>
      <c r="R20" s="11" t="s">
        <v>52</v>
      </c>
      <c r="S20" s="10"/>
      <c r="T20" s="10"/>
      <c r="U20" s="11" t="s">
        <v>71</v>
      </c>
      <c r="V20" s="11" t="s">
        <v>131</v>
      </c>
      <c r="W20" s="11" t="s">
        <v>132</v>
      </c>
      <c r="X20" s="10"/>
      <c r="Y20" s="10"/>
      <c r="Z20" s="10"/>
      <c r="AA20" s="10"/>
    </row>
    <row r="21" spans="1:27" hidden="1" x14ac:dyDescent="0.3">
      <c r="A21" s="8">
        <v>46027</v>
      </c>
      <c r="B21" s="8"/>
      <c r="C21" s="10"/>
      <c r="D21" s="11" t="s">
        <v>71</v>
      </c>
      <c r="E21" s="11" t="s">
        <v>133</v>
      </c>
      <c r="F21" s="10"/>
      <c r="G21" s="11" t="s">
        <v>878</v>
      </c>
      <c r="H21" s="11">
        <v>1</v>
      </c>
      <c r="I21" s="11" t="s">
        <v>77</v>
      </c>
      <c r="J21" s="25">
        <v>340</v>
      </c>
      <c r="K21" s="12">
        <v>340</v>
      </c>
      <c r="L21" s="10"/>
      <c r="M21" s="10"/>
      <c r="N21" s="12">
        <v>340</v>
      </c>
      <c r="O21" s="12">
        <v>175.33</v>
      </c>
      <c r="P21" s="12">
        <v>175.33</v>
      </c>
      <c r="Q21" s="12">
        <v>164.67</v>
      </c>
      <c r="R21" s="11" t="s">
        <v>52</v>
      </c>
      <c r="S21" s="10"/>
      <c r="T21" s="10"/>
      <c r="U21" s="11" t="s">
        <v>71</v>
      </c>
      <c r="V21" s="11" t="s">
        <v>134</v>
      </c>
      <c r="W21" s="11" t="s">
        <v>135</v>
      </c>
      <c r="X21" s="10"/>
      <c r="Y21" s="10"/>
      <c r="Z21" s="10"/>
      <c r="AA21" s="10"/>
    </row>
    <row r="22" spans="1:27" hidden="1" x14ac:dyDescent="0.3">
      <c r="A22" s="8">
        <v>46027</v>
      </c>
      <c r="B22" s="8"/>
      <c r="C22" s="10"/>
      <c r="D22" s="11" t="s">
        <v>136</v>
      </c>
      <c r="E22" s="11" t="s">
        <v>137</v>
      </c>
      <c r="F22" s="10"/>
      <c r="G22" s="11" t="s">
        <v>877</v>
      </c>
      <c r="H22" s="11">
        <v>15</v>
      </c>
      <c r="I22" s="11" t="s">
        <v>100</v>
      </c>
      <c r="J22" s="25">
        <v>4500</v>
      </c>
      <c r="K22" s="12">
        <v>67500</v>
      </c>
      <c r="L22" s="10"/>
      <c r="M22" s="10"/>
      <c r="N22" s="12">
        <v>67500</v>
      </c>
      <c r="O22" s="12">
        <v>3655.8</v>
      </c>
      <c r="P22" s="12">
        <v>54837</v>
      </c>
      <c r="Q22" s="12">
        <v>12663</v>
      </c>
      <c r="R22" s="11" t="s">
        <v>52</v>
      </c>
      <c r="S22" s="10"/>
      <c r="T22" s="10"/>
      <c r="U22" s="11" t="s">
        <v>138</v>
      </c>
      <c r="V22" s="10"/>
      <c r="W22" s="10"/>
      <c r="X22" s="10"/>
      <c r="Y22" s="10"/>
      <c r="Z22" s="10"/>
      <c r="AA22" s="10"/>
    </row>
    <row r="23" spans="1:27" hidden="1" x14ac:dyDescent="0.3">
      <c r="A23" s="8">
        <v>46027</v>
      </c>
      <c r="B23" s="8"/>
      <c r="C23" s="10"/>
      <c r="D23" s="11" t="s">
        <v>136</v>
      </c>
      <c r="E23" s="11" t="s">
        <v>137</v>
      </c>
      <c r="F23" s="10"/>
      <c r="G23" s="11" t="s">
        <v>139</v>
      </c>
      <c r="H23" s="11">
        <v>2</v>
      </c>
      <c r="I23" s="11" t="s">
        <v>268</v>
      </c>
      <c r="J23" s="25">
        <v>300</v>
      </c>
      <c r="K23" s="12">
        <v>600</v>
      </c>
      <c r="L23" s="11">
        <v>535.71</v>
      </c>
      <c r="M23" s="11">
        <v>64.290000000000006</v>
      </c>
      <c r="N23" s="10"/>
      <c r="O23" s="12">
        <v>131.94</v>
      </c>
      <c r="P23" s="12">
        <v>263.88</v>
      </c>
      <c r="Q23" s="12">
        <v>336.12</v>
      </c>
      <c r="R23" s="11" t="s">
        <v>52</v>
      </c>
      <c r="S23" s="10"/>
      <c r="T23" s="10"/>
      <c r="U23" s="11" t="s">
        <v>138</v>
      </c>
      <c r="V23" s="10"/>
      <c r="W23" s="10"/>
      <c r="X23" s="10"/>
      <c r="Y23" s="10"/>
      <c r="Z23" s="10"/>
      <c r="AA23" s="10"/>
    </row>
    <row r="24" spans="1:27" hidden="1" x14ac:dyDescent="0.3">
      <c r="A24" s="8">
        <v>46027</v>
      </c>
      <c r="B24" s="8"/>
      <c r="C24" s="10"/>
      <c r="D24" s="11" t="s">
        <v>71</v>
      </c>
      <c r="E24" s="11" t="s">
        <v>140</v>
      </c>
      <c r="F24" s="10"/>
      <c r="G24" s="11" t="s">
        <v>877</v>
      </c>
      <c r="H24" s="11">
        <v>1</v>
      </c>
      <c r="I24" s="11" t="s">
        <v>100</v>
      </c>
      <c r="J24" s="25">
        <v>6100</v>
      </c>
      <c r="K24" s="12">
        <v>6100</v>
      </c>
      <c r="L24" s="10"/>
      <c r="M24" s="10"/>
      <c r="N24" s="12">
        <v>6100</v>
      </c>
      <c r="O24" s="12">
        <v>3655.8</v>
      </c>
      <c r="P24" s="12">
        <v>3655.8</v>
      </c>
      <c r="Q24" s="12">
        <v>2444.1999999999998</v>
      </c>
      <c r="R24" s="11" t="s">
        <v>52</v>
      </c>
      <c r="S24" s="10"/>
      <c r="T24" s="10"/>
      <c r="U24" s="11" t="s">
        <v>71</v>
      </c>
      <c r="V24" s="11" t="s">
        <v>141</v>
      </c>
      <c r="W24" s="11" t="s">
        <v>142</v>
      </c>
      <c r="X24" s="10"/>
      <c r="Y24" s="10"/>
      <c r="Z24" s="10"/>
      <c r="AA24" s="10"/>
    </row>
    <row r="25" spans="1:27" hidden="1" x14ac:dyDescent="0.3">
      <c r="A25" s="8">
        <v>46027</v>
      </c>
      <c r="B25" s="8"/>
      <c r="C25" s="10"/>
      <c r="D25" s="11" t="s">
        <v>143</v>
      </c>
      <c r="E25" s="11" t="s">
        <v>144</v>
      </c>
      <c r="F25" s="10"/>
      <c r="G25" s="11" t="s">
        <v>877</v>
      </c>
      <c r="H25" s="11">
        <v>1</v>
      </c>
      <c r="I25" s="11" t="s">
        <v>100</v>
      </c>
      <c r="J25" s="25">
        <v>5500</v>
      </c>
      <c r="K25" s="12">
        <v>5500</v>
      </c>
      <c r="L25" s="10"/>
      <c r="M25" s="10"/>
      <c r="N25" s="12">
        <v>5500</v>
      </c>
      <c r="O25" s="12">
        <v>3655.8</v>
      </c>
      <c r="P25" s="12">
        <v>3655.8</v>
      </c>
      <c r="Q25" s="12">
        <v>1844.2</v>
      </c>
      <c r="R25" s="11" t="s">
        <v>52</v>
      </c>
      <c r="S25" s="10"/>
      <c r="T25" s="10"/>
      <c r="U25" s="11" t="s">
        <v>143</v>
      </c>
      <c r="V25" s="10"/>
      <c r="W25" s="10"/>
      <c r="X25" s="10"/>
      <c r="Y25" s="10"/>
      <c r="Z25" s="10"/>
      <c r="AA25" s="10"/>
    </row>
    <row r="26" spans="1:27" hidden="1" x14ac:dyDescent="0.3">
      <c r="A26" s="8">
        <v>46027</v>
      </c>
      <c r="B26" s="8"/>
      <c r="C26" s="10"/>
      <c r="D26" s="11" t="s">
        <v>145</v>
      </c>
      <c r="E26" s="11" t="s">
        <v>146</v>
      </c>
      <c r="F26" s="10"/>
      <c r="G26" s="11" t="s">
        <v>877</v>
      </c>
      <c r="H26" s="11">
        <v>3</v>
      </c>
      <c r="I26" s="11" t="s">
        <v>100</v>
      </c>
      <c r="J26" s="25">
        <v>5000</v>
      </c>
      <c r="K26" s="12">
        <v>15000</v>
      </c>
      <c r="L26" s="10"/>
      <c r="M26" s="10"/>
      <c r="N26" s="12">
        <v>15000</v>
      </c>
      <c r="O26" s="12">
        <v>3655.8</v>
      </c>
      <c r="P26" s="12">
        <v>10967.4</v>
      </c>
      <c r="Q26" s="12">
        <v>4032.6</v>
      </c>
      <c r="R26" s="11" t="s">
        <v>52</v>
      </c>
      <c r="S26" s="10"/>
      <c r="T26" s="10"/>
      <c r="U26" s="11" t="s">
        <v>147</v>
      </c>
      <c r="V26" s="10"/>
      <c r="W26" s="10"/>
      <c r="X26" s="10"/>
      <c r="Y26" s="10"/>
      <c r="Z26" s="10"/>
      <c r="AA26" s="10"/>
    </row>
    <row r="27" spans="1:27" hidden="1" x14ac:dyDescent="0.3">
      <c r="A27" s="8">
        <v>46027</v>
      </c>
      <c r="B27" s="8"/>
      <c r="C27" s="10"/>
      <c r="D27" s="11" t="s">
        <v>145</v>
      </c>
      <c r="E27" s="11" t="s">
        <v>146</v>
      </c>
      <c r="F27" s="10"/>
      <c r="G27" s="11" t="s">
        <v>148</v>
      </c>
      <c r="H27" s="11">
        <v>6</v>
      </c>
      <c r="I27" s="11" t="s">
        <v>149</v>
      </c>
      <c r="J27" s="25">
        <v>300</v>
      </c>
      <c r="K27" s="12">
        <v>1800</v>
      </c>
      <c r="L27" s="15">
        <v>1607.14</v>
      </c>
      <c r="M27" s="11">
        <v>192.86</v>
      </c>
      <c r="N27" s="10"/>
      <c r="O27" s="12">
        <v>119.01</v>
      </c>
      <c r="P27" s="12">
        <v>714.06</v>
      </c>
      <c r="Q27" s="12">
        <v>1085.94</v>
      </c>
      <c r="R27" s="11" t="s">
        <v>52</v>
      </c>
      <c r="S27" s="10"/>
      <c r="T27" s="10"/>
      <c r="U27" s="11" t="s">
        <v>147</v>
      </c>
      <c r="V27" s="10"/>
      <c r="W27" s="10"/>
      <c r="X27" s="10"/>
      <c r="Y27" s="10"/>
      <c r="Z27" s="10"/>
      <c r="AA27" s="10"/>
    </row>
    <row r="28" spans="1:27" hidden="1" x14ac:dyDescent="0.3">
      <c r="A28" s="8">
        <v>46027</v>
      </c>
      <c r="B28" s="8"/>
      <c r="C28" s="10"/>
      <c r="D28" s="11" t="s">
        <v>145</v>
      </c>
      <c r="E28" s="11" t="s">
        <v>146</v>
      </c>
      <c r="F28" s="10"/>
      <c r="G28" s="11" t="s">
        <v>150</v>
      </c>
      <c r="H28" s="11">
        <v>1</v>
      </c>
      <c r="I28" s="11" t="s">
        <v>86</v>
      </c>
      <c r="J28" s="25">
        <v>500</v>
      </c>
      <c r="K28" s="12">
        <v>500</v>
      </c>
      <c r="L28" s="11">
        <v>446.43</v>
      </c>
      <c r="M28" s="11">
        <v>53.57</v>
      </c>
      <c r="N28" s="10"/>
      <c r="O28" s="12">
        <v>160</v>
      </c>
      <c r="P28" s="12">
        <v>160</v>
      </c>
      <c r="Q28" s="12">
        <v>340</v>
      </c>
      <c r="R28" s="11" t="s">
        <v>52</v>
      </c>
      <c r="S28" s="10"/>
      <c r="T28" s="10"/>
      <c r="U28" s="11" t="s">
        <v>147</v>
      </c>
      <c r="V28" s="10"/>
      <c r="W28" s="10"/>
      <c r="X28" s="10"/>
      <c r="Y28" s="10"/>
      <c r="Z28" s="10"/>
      <c r="AA28" s="10"/>
    </row>
    <row r="29" spans="1:27" hidden="1" x14ac:dyDescent="0.3">
      <c r="A29" s="8">
        <v>46027</v>
      </c>
      <c r="B29" s="8"/>
      <c r="C29" s="10"/>
      <c r="D29" s="11" t="s">
        <v>145</v>
      </c>
      <c r="E29" s="11" t="s">
        <v>146</v>
      </c>
      <c r="F29" s="10"/>
      <c r="G29" s="11" t="s">
        <v>602</v>
      </c>
      <c r="H29" s="11">
        <v>1</v>
      </c>
      <c r="I29" s="11" t="s">
        <v>86</v>
      </c>
      <c r="J29" s="25">
        <v>1500</v>
      </c>
      <c r="K29" s="12">
        <v>1500</v>
      </c>
      <c r="L29" s="15">
        <v>1339.29</v>
      </c>
      <c r="M29" s="11">
        <v>160.71</v>
      </c>
      <c r="N29" s="10"/>
      <c r="O29" s="12">
        <v>139.08000000000001</v>
      </c>
      <c r="P29" s="12">
        <v>139.08000000000001</v>
      </c>
      <c r="Q29" s="12">
        <v>1360.92</v>
      </c>
      <c r="R29" s="11" t="s">
        <v>52</v>
      </c>
      <c r="S29" s="10"/>
      <c r="T29" s="10"/>
      <c r="U29" s="11" t="s">
        <v>147</v>
      </c>
      <c r="V29" s="10"/>
      <c r="W29" s="10"/>
      <c r="X29" s="10"/>
      <c r="Y29" s="10"/>
      <c r="Z29" s="10"/>
      <c r="AA29" s="10"/>
    </row>
    <row r="30" spans="1:27" hidden="1" x14ac:dyDescent="0.3">
      <c r="A30" s="8">
        <v>46028</v>
      </c>
      <c r="B30" s="8"/>
      <c r="C30" s="10"/>
      <c r="D30" s="11" t="s">
        <v>71</v>
      </c>
      <c r="E30" s="11" t="s">
        <v>151</v>
      </c>
      <c r="F30" s="10"/>
      <c r="G30" s="11" t="s">
        <v>152</v>
      </c>
      <c r="H30" s="11">
        <v>1</v>
      </c>
      <c r="I30" s="11" t="s">
        <v>74</v>
      </c>
      <c r="J30" s="25">
        <v>1400</v>
      </c>
      <c r="K30" s="12">
        <v>1400</v>
      </c>
      <c r="L30" s="15">
        <v>1250</v>
      </c>
      <c r="M30" s="11">
        <v>150</v>
      </c>
      <c r="N30" s="10"/>
      <c r="O30" s="12">
        <v>870.33</v>
      </c>
      <c r="P30" s="12">
        <v>870.33</v>
      </c>
      <c r="Q30" s="12">
        <v>529.66999999999996</v>
      </c>
      <c r="R30" s="11" t="s">
        <v>52</v>
      </c>
      <c r="S30" s="10"/>
      <c r="T30" s="10"/>
      <c r="U30" s="11" t="s">
        <v>71</v>
      </c>
      <c r="V30" s="11" t="s">
        <v>153</v>
      </c>
      <c r="W30" s="11" t="s">
        <v>154</v>
      </c>
      <c r="X30" s="10"/>
      <c r="Y30" s="10"/>
      <c r="Z30" s="10"/>
      <c r="AA30" s="10"/>
    </row>
    <row r="31" spans="1:27" hidden="1" x14ac:dyDescent="0.3">
      <c r="A31" s="8">
        <v>46028</v>
      </c>
      <c r="B31" s="8"/>
      <c r="C31" s="10"/>
      <c r="D31" s="11" t="s">
        <v>71</v>
      </c>
      <c r="E31" s="11" t="s">
        <v>155</v>
      </c>
      <c r="F31" s="10"/>
      <c r="G31" s="11" t="s">
        <v>878</v>
      </c>
      <c r="H31" s="11">
        <v>1</v>
      </c>
      <c r="I31" s="11" t="s">
        <v>77</v>
      </c>
      <c r="J31" s="25">
        <v>340</v>
      </c>
      <c r="K31" s="12">
        <v>340</v>
      </c>
      <c r="L31" s="10"/>
      <c r="M31" s="10"/>
      <c r="N31" s="12">
        <v>340</v>
      </c>
      <c r="O31" s="12">
        <v>175.33</v>
      </c>
      <c r="P31" s="12">
        <v>175.33</v>
      </c>
      <c r="Q31" s="12">
        <v>164.67</v>
      </c>
      <c r="R31" s="11" t="s">
        <v>52</v>
      </c>
      <c r="S31" s="10"/>
      <c r="T31" s="10"/>
      <c r="U31" s="11" t="s">
        <v>71</v>
      </c>
      <c r="V31" s="11" t="s">
        <v>156</v>
      </c>
      <c r="W31" s="11" t="s">
        <v>157</v>
      </c>
      <c r="X31" s="10"/>
      <c r="Y31" s="10"/>
      <c r="Z31" s="10"/>
      <c r="AA31" s="10"/>
    </row>
    <row r="32" spans="1:27" hidden="1" x14ac:dyDescent="0.3">
      <c r="A32" s="8">
        <v>46028</v>
      </c>
      <c r="B32" s="8"/>
      <c r="C32" s="10"/>
      <c r="D32" s="11" t="s">
        <v>71</v>
      </c>
      <c r="E32" s="11" t="s">
        <v>158</v>
      </c>
      <c r="F32" s="10"/>
      <c r="G32" s="11" t="s">
        <v>878</v>
      </c>
      <c r="H32" s="11">
        <v>3</v>
      </c>
      <c r="I32" s="11" t="s">
        <v>77</v>
      </c>
      <c r="J32" s="25">
        <v>340</v>
      </c>
      <c r="K32" s="12">
        <v>1020</v>
      </c>
      <c r="L32" s="10"/>
      <c r="M32" s="10"/>
      <c r="N32" s="12">
        <v>1020</v>
      </c>
      <c r="O32" s="12">
        <v>175.33</v>
      </c>
      <c r="P32" s="12">
        <v>525.99</v>
      </c>
      <c r="Q32" s="12">
        <v>494.01</v>
      </c>
      <c r="R32" s="11" t="s">
        <v>52</v>
      </c>
      <c r="S32" s="10"/>
      <c r="T32" s="10"/>
      <c r="U32" s="11" t="s">
        <v>71</v>
      </c>
      <c r="V32" s="11" t="s">
        <v>159</v>
      </c>
      <c r="W32" s="11" t="s">
        <v>160</v>
      </c>
      <c r="X32" s="10"/>
      <c r="Y32" s="10"/>
      <c r="Z32" s="10"/>
      <c r="AA32" s="10"/>
    </row>
    <row r="33" spans="1:27" hidden="1" x14ac:dyDescent="0.3">
      <c r="A33" s="8">
        <v>46028</v>
      </c>
      <c r="B33" s="8"/>
      <c r="C33" s="10"/>
      <c r="D33" s="11" t="s">
        <v>71</v>
      </c>
      <c r="E33" s="11" t="s">
        <v>161</v>
      </c>
      <c r="F33" s="10"/>
      <c r="G33" s="11" t="s">
        <v>878</v>
      </c>
      <c r="H33" s="11">
        <v>1</v>
      </c>
      <c r="I33" s="11" t="s">
        <v>77</v>
      </c>
      <c r="J33" s="25">
        <v>340</v>
      </c>
      <c r="K33" s="12">
        <v>340</v>
      </c>
      <c r="L33" s="10"/>
      <c r="M33" s="10"/>
      <c r="N33" s="12">
        <v>340</v>
      </c>
      <c r="O33" s="12">
        <v>175.33</v>
      </c>
      <c r="P33" s="12">
        <v>175.33</v>
      </c>
      <c r="Q33" s="12">
        <v>164.67</v>
      </c>
      <c r="R33" s="11" t="s">
        <v>52</v>
      </c>
      <c r="S33" s="10"/>
      <c r="T33" s="10"/>
      <c r="U33" s="11" t="s">
        <v>71</v>
      </c>
      <c r="V33" s="11" t="s">
        <v>162</v>
      </c>
      <c r="W33" s="11" t="s">
        <v>163</v>
      </c>
      <c r="X33" s="10"/>
      <c r="Y33" s="10"/>
      <c r="Z33" s="10"/>
      <c r="AA33" s="10"/>
    </row>
    <row r="34" spans="1:27" hidden="1" x14ac:dyDescent="0.3">
      <c r="A34" s="8">
        <v>46028</v>
      </c>
      <c r="B34" s="8"/>
      <c r="C34" s="10"/>
      <c r="D34" s="11" t="s">
        <v>71</v>
      </c>
      <c r="E34" s="11" t="s">
        <v>164</v>
      </c>
      <c r="F34" s="10"/>
      <c r="G34" s="11" t="s">
        <v>878</v>
      </c>
      <c r="H34" s="11">
        <v>4</v>
      </c>
      <c r="I34" s="11" t="s">
        <v>77</v>
      </c>
      <c r="J34" s="25">
        <v>340</v>
      </c>
      <c r="K34" s="12">
        <v>1360</v>
      </c>
      <c r="L34" s="10"/>
      <c r="M34" s="10"/>
      <c r="N34" s="12">
        <v>1360</v>
      </c>
      <c r="O34" s="12">
        <v>175.33</v>
      </c>
      <c r="P34" s="12">
        <v>701.32</v>
      </c>
      <c r="Q34" s="12">
        <v>658.68</v>
      </c>
      <c r="R34" s="11" t="s">
        <v>52</v>
      </c>
      <c r="S34" s="10"/>
      <c r="T34" s="10"/>
      <c r="U34" s="11" t="s">
        <v>71</v>
      </c>
      <c r="V34" s="11" t="s">
        <v>165</v>
      </c>
      <c r="W34" s="11" t="s">
        <v>166</v>
      </c>
      <c r="X34" s="10"/>
      <c r="Y34" s="10"/>
      <c r="Z34" s="10"/>
      <c r="AA34" s="10"/>
    </row>
    <row r="35" spans="1:27" hidden="1" x14ac:dyDescent="0.3">
      <c r="A35" s="8">
        <v>46028</v>
      </c>
      <c r="B35" s="8"/>
      <c r="C35" s="10"/>
      <c r="D35" s="11" t="s">
        <v>71</v>
      </c>
      <c r="E35" s="11" t="s">
        <v>167</v>
      </c>
      <c r="F35" s="10"/>
      <c r="G35" s="11" t="s">
        <v>878</v>
      </c>
      <c r="H35" s="11">
        <v>5</v>
      </c>
      <c r="I35" s="11" t="s">
        <v>77</v>
      </c>
      <c r="J35" s="25">
        <v>340</v>
      </c>
      <c r="K35" s="12">
        <v>1700</v>
      </c>
      <c r="L35" s="10"/>
      <c r="M35" s="10"/>
      <c r="N35" s="12">
        <v>1700</v>
      </c>
      <c r="O35" s="12">
        <v>175.33</v>
      </c>
      <c r="P35" s="12">
        <v>876.65</v>
      </c>
      <c r="Q35" s="12">
        <v>823.35</v>
      </c>
      <c r="R35" s="11" t="s">
        <v>52</v>
      </c>
      <c r="S35" s="10"/>
      <c r="T35" s="10"/>
      <c r="U35" s="11" t="s">
        <v>71</v>
      </c>
      <c r="V35" s="11" t="s">
        <v>168</v>
      </c>
      <c r="W35" s="11" t="s">
        <v>169</v>
      </c>
      <c r="X35" s="10"/>
      <c r="Y35" s="10"/>
      <c r="Z35" s="10"/>
      <c r="AA35" s="10"/>
    </row>
    <row r="36" spans="1:27" hidden="1" x14ac:dyDescent="0.3">
      <c r="A36" s="8">
        <v>46028</v>
      </c>
      <c r="B36" s="8"/>
      <c r="C36" s="10"/>
      <c r="D36" s="11" t="s">
        <v>71</v>
      </c>
      <c r="E36" s="11" t="s">
        <v>170</v>
      </c>
      <c r="F36" s="10"/>
      <c r="G36" s="11" t="s">
        <v>111</v>
      </c>
      <c r="H36" s="11">
        <v>1</v>
      </c>
      <c r="I36" s="11" t="s">
        <v>74</v>
      </c>
      <c r="J36" s="25">
        <v>1249</v>
      </c>
      <c r="K36" s="12">
        <v>1249</v>
      </c>
      <c r="L36" s="15">
        <v>1115.18</v>
      </c>
      <c r="M36" s="11">
        <v>133.82</v>
      </c>
      <c r="N36" s="10"/>
      <c r="O36" s="12">
        <v>870</v>
      </c>
      <c r="P36" s="12">
        <v>870</v>
      </c>
      <c r="Q36" s="12">
        <v>379</v>
      </c>
      <c r="R36" s="11" t="s">
        <v>52</v>
      </c>
      <c r="S36" s="10"/>
      <c r="T36" s="10"/>
      <c r="U36" s="11" t="s">
        <v>71</v>
      </c>
      <c r="V36" s="11" t="s">
        <v>171</v>
      </c>
      <c r="W36" s="11" t="s">
        <v>172</v>
      </c>
      <c r="X36" s="10"/>
      <c r="Y36" s="10"/>
      <c r="Z36" s="10"/>
      <c r="AA36" s="10"/>
    </row>
    <row r="37" spans="1:27" hidden="1" x14ac:dyDescent="0.3">
      <c r="A37" s="8">
        <v>46028</v>
      </c>
      <c r="B37" s="8"/>
      <c r="C37" s="10"/>
      <c r="D37" s="11" t="s">
        <v>71</v>
      </c>
      <c r="E37" s="11" t="s">
        <v>173</v>
      </c>
      <c r="F37" s="10"/>
      <c r="G37" s="11" t="s">
        <v>878</v>
      </c>
      <c r="H37" s="11">
        <v>3</v>
      </c>
      <c r="I37" s="11" t="s">
        <v>77</v>
      </c>
      <c r="J37" s="25">
        <v>340</v>
      </c>
      <c r="K37" s="12">
        <v>1020</v>
      </c>
      <c r="L37" s="10"/>
      <c r="M37" s="10"/>
      <c r="N37" s="12">
        <v>1020</v>
      </c>
      <c r="O37" s="12">
        <v>175.33</v>
      </c>
      <c r="P37" s="12">
        <v>525.99</v>
      </c>
      <c r="Q37" s="12">
        <v>494.01</v>
      </c>
      <c r="R37" s="11" t="s">
        <v>52</v>
      </c>
      <c r="S37" s="10"/>
      <c r="T37" s="10"/>
      <c r="U37" s="11" t="s">
        <v>71</v>
      </c>
      <c r="V37" s="11" t="s">
        <v>174</v>
      </c>
      <c r="W37" s="11" t="s">
        <v>175</v>
      </c>
      <c r="X37" s="10"/>
      <c r="Y37" s="10"/>
      <c r="Z37" s="10"/>
      <c r="AA37" s="10"/>
    </row>
    <row r="38" spans="1:27" hidden="1" x14ac:dyDescent="0.3">
      <c r="A38" s="8">
        <v>46028</v>
      </c>
      <c r="B38" s="8"/>
      <c r="C38" s="10"/>
      <c r="D38" s="11" t="s">
        <v>71</v>
      </c>
      <c r="E38" s="11" t="s">
        <v>176</v>
      </c>
      <c r="F38" s="10"/>
      <c r="G38" s="11" t="s">
        <v>878</v>
      </c>
      <c r="H38" s="11">
        <v>2</v>
      </c>
      <c r="I38" s="11" t="s">
        <v>77</v>
      </c>
      <c r="J38" s="25">
        <v>340</v>
      </c>
      <c r="K38" s="12">
        <v>680</v>
      </c>
      <c r="L38" s="10"/>
      <c r="M38" s="10"/>
      <c r="N38" s="12">
        <v>680</v>
      </c>
      <c r="O38" s="12">
        <v>175.33</v>
      </c>
      <c r="P38" s="12">
        <v>350.66</v>
      </c>
      <c r="Q38" s="12">
        <v>329.34</v>
      </c>
      <c r="R38" s="11" t="s">
        <v>52</v>
      </c>
      <c r="S38" s="10"/>
      <c r="T38" s="10"/>
      <c r="U38" s="11" t="s">
        <v>71</v>
      </c>
      <c r="V38" s="11" t="s">
        <v>141</v>
      </c>
      <c r="W38" s="11" t="s">
        <v>142</v>
      </c>
      <c r="X38" s="10"/>
      <c r="Y38" s="10"/>
      <c r="Z38" s="10"/>
      <c r="AA38" s="10"/>
    </row>
    <row r="39" spans="1:27" hidden="1" x14ac:dyDescent="0.3">
      <c r="A39" s="8">
        <v>46028</v>
      </c>
      <c r="B39" s="8"/>
      <c r="C39" s="10"/>
      <c r="D39" s="11" t="s">
        <v>177</v>
      </c>
      <c r="E39" s="11" t="s">
        <v>178</v>
      </c>
      <c r="F39" s="10"/>
      <c r="G39" s="11" t="s">
        <v>877</v>
      </c>
      <c r="H39" s="11">
        <v>1</v>
      </c>
      <c r="I39" s="11" t="s">
        <v>100</v>
      </c>
      <c r="J39" s="25">
        <v>5000</v>
      </c>
      <c r="K39" s="12">
        <v>5000</v>
      </c>
      <c r="L39" s="10"/>
      <c r="M39" s="10"/>
      <c r="N39" s="12">
        <v>5000</v>
      </c>
      <c r="O39" s="12">
        <v>3655.8</v>
      </c>
      <c r="P39" s="12">
        <v>3655.8</v>
      </c>
      <c r="Q39" s="12">
        <v>1344.2</v>
      </c>
      <c r="R39" s="11" t="s">
        <v>52</v>
      </c>
      <c r="S39" s="10"/>
      <c r="T39" s="10"/>
      <c r="U39" s="11" t="s">
        <v>147</v>
      </c>
      <c r="V39" s="10"/>
      <c r="W39" s="10"/>
      <c r="X39" s="10"/>
      <c r="Y39" s="10"/>
      <c r="Z39" s="10"/>
      <c r="AA39" s="10"/>
    </row>
    <row r="40" spans="1:27" hidden="1" x14ac:dyDescent="0.3">
      <c r="A40" s="8">
        <v>46028</v>
      </c>
      <c r="B40" s="8"/>
      <c r="C40" s="10"/>
      <c r="D40" s="11" t="s">
        <v>179</v>
      </c>
      <c r="E40" s="11" t="s">
        <v>180</v>
      </c>
      <c r="F40" s="11" t="s">
        <v>181</v>
      </c>
      <c r="G40" s="11" t="s">
        <v>593</v>
      </c>
      <c r="H40" s="11">
        <v>1</v>
      </c>
      <c r="I40" s="11" t="s">
        <v>130</v>
      </c>
      <c r="J40" s="25">
        <v>500</v>
      </c>
      <c r="K40" s="12">
        <v>500</v>
      </c>
      <c r="L40" s="11">
        <v>446.43</v>
      </c>
      <c r="M40" s="11">
        <v>53.57</v>
      </c>
      <c r="N40" s="10"/>
      <c r="O40" s="12">
        <v>33.6</v>
      </c>
      <c r="P40" s="12">
        <v>33.6</v>
      </c>
      <c r="Q40" s="12">
        <v>466.4</v>
      </c>
      <c r="R40" s="11" t="s">
        <v>52</v>
      </c>
      <c r="S40" s="10"/>
      <c r="T40" s="10"/>
      <c r="U40" s="10"/>
      <c r="V40" s="10"/>
      <c r="W40" s="10"/>
      <c r="X40" s="10"/>
      <c r="Y40" s="10"/>
      <c r="Z40" s="10"/>
      <c r="AA40" s="10"/>
    </row>
    <row r="41" spans="1:27" hidden="1" x14ac:dyDescent="0.3">
      <c r="A41" s="8">
        <v>46028</v>
      </c>
      <c r="B41" s="8"/>
      <c r="C41" s="10"/>
      <c r="D41" s="11" t="s">
        <v>179</v>
      </c>
      <c r="E41" s="11" t="s">
        <v>180</v>
      </c>
      <c r="F41" s="11" t="s">
        <v>181</v>
      </c>
      <c r="G41" s="11" t="s">
        <v>53</v>
      </c>
      <c r="H41" s="11">
        <v>1</v>
      </c>
      <c r="I41" s="11" t="s">
        <v>86</v>
      </c>
      <c r="J41" s="25">
        <v>1800</v>
      </c>
      <c r="K41" s="12">
        <v>1800</v>
      </c>
      <c r="L41" s="15">
        <v>1607.14</v>
      </c>
      <c r="M41" s="11">
        <v>192.86</v>
      </c>
      <c r="N41" s="10"/>
      <c r="O41" s="12">
        <v>521.99</v>
      </c>
      <c r="P41" s="12">
        <v>521.99</v>
      </c>
      <c r="Q41" s="12">
        <v>1278.01</v>
      </c>
      <c r="R41" s="11" t="s">
        <v>52</v>
      </c>
      <c r="S41" s="10"/>
      <c r="T41" s="10"/>
      <c r="U41" s="10"/>
      <c r="V41" s="10"/>
      <c r="W41" s="10"/>
      <c r="X41" s="10"/>
      <c r="Y41" s="10"/>
      <c r="Z41" s="10"/>
      <c r="AA41" s="10"/>
    </row>
    <row r="42" spans="1:27" hidden="1" x14ac:dyDescent="0.3">
      <c r="A42" s="8">
        <v>46028</v>
      </c>
      <c r="B42" s="8"/>
      <c r="C42" s="10"/>
      <c r="D42" s="11" t="s">
        <v>179</v>
      </c>
      <c r="E42" s="11" t="s">
        <v>180</v>
      </c>
      <c r="F42" s="11" t="s">
        <v>181</v>
      </c>
      <c r="G42" s="11" t="s">
        <v>150</v>
      </c>
      <c r="H42" s="11">
        <v>1</v>
      </c>
      <c r="I42" s="11" t="s">
        <v>86</v>
      </c>
      <c r="J42" s="25">
        <v>500</v>
      </c>
      <c r="K42" s="12">
        <v>500</v>
      </c>
      <c r="L42" s="11">
        <v>446.43</v>
      </c>
      <c r="M42" s="11">
        <v>53.57</v>
      </c>
      <c r="N42" s="10"/>
      <c r="O42" s="12">
        <v>160</v>
      </c>
      <c r="P42" s="12">
        <v>160</v>
      </c>
      <c r="Q42" s="12">
        <v>340</v>
      </c>
      <c r="R42" s="11" t="s">
        <v>52</v>
      </c>
      <c r="S42" s="10"/>
      <c r="T42" s="10"/>
      <c r="U42" s="10"/>
      <c r="V42" s="10"/>
      <c r="W42" s="10"/>
      <c r="X42" s="10"/>
      <c r="Y42" s="10"/>
      <c r="Z42" s="10"/>
      <c r="AA42" s="10"/>
    </row>
    <row r="43" spans="1:27" hidden="1" x14ac:dyDescent="0.3">
      <c r="A43" s="8">
        <v>46028</v>
      </c>
      <c r="B43" s="8"/>
      <c r="C43" s="10"/>
      <c r="D43" s="11" t="s">
        <v>179</v>
      </c>
      <c r="E43" s="11" t="s">
        <v>180</v>
      </c>
      <c r="F43" s="11" t="s">
        <v>181</v>
      </c>
      <c r="G43" s="11" t="s">
        <v>148</v>
      </c>
      <c r="H43" s="11">
        <v>3</v>
      </c>
      <c r="I43" s="11" t="s">
        <v>149</v>
      </c>
      <c r="J43" s="25">
        <v>300</v>
      </c>
      <c r="K43" s="12">
        <v>900</v>
      </c>
      <c r="L43" s="11">
        <v>803.57</v>
      </c>
      <c r="M43" s="11">
        <v>96.43</v>
      </c>
      <c r="N43" s="10"/>
      <c r="O43" s="12">
        <v>119.01</v>
      </c>
      <c r="P43" s="12">
        <v>357.03</v>
      </c>
      <c r="Q43" s="12">
        <v>542.97</v>
      </c>
      <c r="R43" s="11" t="s">
        <v>52</v>
      </c>
      <c r="S43" s="10"/>
      <c r="T43" s="10"/>
      <c r="U43" s="10"/>
      <c r="V43" s="10"/>
      <c r="W43" s="10"/>
      <c r="X43" s="10"/>
      <c r="Y43" s="10"/>
      <c r="Z43" s="10"/>
      <c r="AA43" s="10"/>
    </row>
    <row r="44" spans="1:27" x14ac:dyDescent="0.3">
      <c r="A44" s="8">
        <v>46028</v>
      </c>
      <c r="B44" s="8"/>
      <c r="C44" s="10"/>
      <c r="D44" s="11" t="s">
        <v>179</v>
      </c>
      <c r="E44" s="11" t="s">
        <v>180</v>
      </c>
      <c r="F44" s="11" t="s">
        <v>181</v>
      </c>
      <c r="G44" s="11" t="s">
        <v>182</v>
      </c>
      <c r="H44" s="11">
        <v>1</v>
      </c>
      <c r="I44" s="11" t="s">
        <v>183</v>
      </c>
      <c r="J44" s="25">
        <v>205</v>
      </c>
      <c r="K44" s="12">
        <v>205</v>
      </c>
      <c r="L44" s="10"/>
      <c r="M44" s="10"/>
      <c r="N44" s="12">
        <v>205</v>
      </c>
      <c r="O44" s="11" t="s">
        <v>80</v>
      </c>
      <c r="P44" s="11" t="s">
        <v>80</v>
      </c>
      <c r="Q44" s="12">
        <v>205</v>
      </c>
      <c r="R44" s="11" t="s">
        <v>52</v>
      </c>
      <c r="S44" s="10"/>
      <c r="T44" s="10"/>
      <c r="U44" s="10"/>
      <c r="V44" s="10"/>
      <c r="W44" s="10"/>
      <c r="X44" s="10"/>
      <c r="Y44" s="10"/>
      <c r="Z44" s="10"/>
      <c r="AA44" s="10"/>
    </row>
    <row r="45" spans="1:27" hidden="1" x14ac:dyDescent="0.3">
      <c r="A45" s="8">
        <v>46029</v>
      </c>
      <c r="B45" s="8"/>
      <c r="C45" s="10"/>
      <c r="D45" s="11" t="s">
        <v>184</v>
      </c>
      <c r="E45" s="11" t="s">
        <v>185</v>
      </c>
      <c r="F45" s="11" t="s">
        <v>186</v>
      </c>
      <c r="G45" s="11" t="s">
        <v>863</v>
      </c>
      <c r="H45" s="11">
        <v>1</v>
      </c>
      <c r="I45" s="11" t="s">
        <v>86</v>
      </c>
      <c r="J45" s="25">
        <v>65000</v>
      </c>
      <c r="K45" s="12">
        <v>65000</v>
      </c>
      <c r="L45" s="15">
        <v>58035.71</v>
      </c>
      <c r="M45" s="15">
        <v>6964.29</v>
      </c>
      <c r="N45" s="10"/>
      <c r="O45" s="12">
        <v>31242.44</v>
      </c>
      <c r="P45" s="12">
        <v>31242.44</v>
      </c>
      <c r="Q45" s="12">
        <v>33757.56</v>
      </c>
      <c r="R45" s="11" t="s">
        <v>52</v>
      </c>
      <c r="S45" s="10"/>
      <c r="T45" s="10"/>
      <c r="U45" s="11" t="s">
        <v>138</v>
      </c>
      <c r="V45" s="10"/>
      <c r="W45" s="10"/>
      <c r="X45" s="10"/>
      <c r="Y45" s="10"/>
      <c r="Z45" s="10"/>
      <c r="AA45" s="10"/>
    </row>
    <row r="46" spans="1:27" hidden="1" x14ac:dyDescent="0.3">
      <c r="A46" s="8">
        <v>46029</v>
      </c>
      <c r="B46" s="8"/>
      <c r="C46" s="10"/>
      <c r="D46" s="11" t="s">
        <v>184</v>
      </c>
      <c r="E46" s="11" t="s">
        <v>185</v>
      </c>
      <c r="F46" s="11" t="s">
        <v>186</v>
      </c>
      <c r="G46" s="11" t="s">
        <v>542</v>
      </c>
      <c r="H46" s="11">
        <v>1</v>
      </c>
      <c r="I46" s="11" t="s">
        <v>188</v>
      </c>
      <c r="J46" s="25" t="s">
        <v>80</v>
      </c>
      <c r="K46" s="11" t="s">
        <v>80</v>
      </c>
      <c r="L46" s="11" t="s">
        <v>189</v>
      </c>
      <c r="M46" s="11" t="s">
        <v>189</v>
      </c>
      <c r="N46" s="10"/>
      <c r="O46" s="12">
        <v>1359.99</v>
      </c>
      <c r="P46" s="12">
        <v>1359.99</v>
      </c>
      <c r="Q46" s="12">
        <v>-1359.99</v>
      </c>
      <c r="R46" s="11" t="s">
        <v>52</v>
      </c>
      <c r="S46" s="10"/>
      <c r="T46" s="10"/>
      <c r="U46" s="11" t="s">
        <v>138</v>
      </c>
      <c r="V46" s="10"/>
      <c r="W46" s="10"/>
      <c r="X46" s="10"/>
      <c r="Y46" s="10"/>
      <c r="Z46" s="10"/>
      <c r="AA46" s="10"/>
    </row>
    <row r="47" spans="1:27" x14ac:dyDescent="0.3">
      <c r="A47" s="8">
        <v>46029</v>
      </c>
      <c r="B47" s="8"/>
      <c r="C47" s="10"/>
      <c r="D47" s="11" t="s">
        <v>184</v>
      </c>
      <c r="E47" s="11" t="s">
        <v>185</v>
      </c>
      <c r="F47" s="11" t="s">
        <v>186</v>
      </c>
      <c r="G47" s="11" t="s">
        <v>182</v>
      </c>
      <c r="H47" s="11">
        <v>1</v>
      </c>
      <c r="I47" s="11" t="s">
        <v>183</v>
      </c>
      <c r="J47" s="25">
        <v>5000</v>
      </c>
      <c r="K47" s="12">
        <v>5000</v>
      </c>
      <c r="L47" s="10"/>
      <c r="M47" s="10"/>
      <c r="N47" s="12">
        <v>5000</v>
      </c>
      <c r="O47" s="11" t="s">
        <v>80</v>
      </c>
      <c r="P47" s="11" t="s">
        <v>80</v>
      </c>
      <c r="Q47" s="12">
        <v>5000</v>
      </c>
      <c r="R47" s="11" t="s">
        <v>52</v>
      </c>
      <c r="S47" s="10"/>
      <c r="T47" s="10"/>
      <c r="U47" s="10"/>
      <c r="V47" s="10"/>
      <c r="W47" s="10"/>
      <c r="X47" s="10"/>
      <c r="Y47" s="10"/>
      <c r="Z47" s="10"/>
      <c r="AA47" s="10"/>
    </row>
    <row r="48" spans="1:27" hidden="1" x14ac:dyDescent="0.3">
      <c r="A48" s="8">
        <v>46029</v>
      </c>
      <c r="B48" s="8"/>
      <c r="C48" s="10"/>
      <c r="D48" s="11" t="s">
        <v>71</v>
      </c>
      <c r="E48" s="11" t="s">
        <v>190</v>
      </c>
      <c r="F48" s="10"/>
      <c r="G48" s="11" t="s">
        <v>122</v>
      </c>
      <c r="H48" s="11">
        <v>2</v>
      </c>
      <c r="I48" s="11" t="s">
        <v>74</v>
      </c>
      <c r="J48" s="25">
        <v>655</v>
      </c>
      <c r="K48" s="12">
        <v>1310</v>
      </c>
      <c r="L48" s="15">
        <v>1169.6400000000001</v>
      </c>
      <c r="M48" s="11">
        <v>140.36000000000001</v>
      </c>
      <c r="N48" s="10"/>
      <c r="O48" s="12">
        <v>425</v>
      </c>
      <c r="P48" s="12">
        <v>850</v>
      </c>
      <c r="Q48" s="12">
        <v>460</v>
      </c>
      <c r="R48" s="11" t="s">
        <v>52</v>
      </c>
      <c r="S48" s="10"/>
      <c r="T48" s="10"/>
      <c r="U48" s="11" t="s">
        <v>71</v>
      </c>
      <c r="V48" s="11" t="s">
        <v>191</v>
      </c>
      <c r="W48" s="11" t="s">
        <v>192</v>
      </c>
      <c r="X48" s="10"/>
      <c r="Y48" s="10"/>
      <c r="Z48" s="10"/>
      <c r="AA48" s="10"/>
    </row>
    <row r="49" spans="1:27" hidden="1" x14ac:dyDescent="0.3">
      <c r="A49" s="8">
        <v>46029</v>
      </c>
      <c r="B49" s="8"/>
      <c r="C49" s="10"/>
      <c r="D49" s="11" t="s">
        <v>71</v>
      </c>
      <c r="E49" s="11" t="s">
        <v>193</v>
      </c>
      <c r="F49" s="10"/>
      <c r="G49" s="11" t="s">
        <v>877</v>
      </c>
      <c r="H49" s="11">
        <v>1</v>
      </c>
      <c r="I49" s="11" t="s">
        <v>100</v>
      </c>
      <c r="J49" s="25">
        <v>6100</v>
      </c>
      <c r="K49" s="12">
        <v>6100</v>
      </c>
      <c r="L49" s="10"/>
      <c r="M49" s="10"/>
      <c r="N49" s="12">
        <v>6100</v>
      </c>
      <c r="O49" s="12">
        <v>3655.8</v>
      </c>
      <c r="P49" s="12">
        <v>3655.8</v>
      </c>
      <c r="Q49" s="12">
        <v>2444.1999999999998</v>
      </c>
      <c r="R49" s="11" t="s">
        <v>52</v>
      </c>
      <c r="S49" s="10"/>
      <c r="T49" s="10"/>
      <c r="U49" s="11" t="s">
        <v>71</v>
      </c>
      <c r="V49" s="11" t="s">
        <v>194</v>
      </c>
      <c r="W49" s="11" t="s">
        <v>195</v>
      </c>
      <c r="X49" s="10"/>
      <c r="Y49" s="10"/>
      <c r="Z49" s="10"/>
      <c r="AA49" s="10"/>
    </row>
    <row r="50" spans="1:27" hidden="1" x14ac:dyDescent="0.3">
      <c r="A50" s="8">
        <v>46029</v>
      </c>
      <c r="B50" s="8"/>
      <c r="C50" s="10"/>
      <c r="D50" s="11" t="s">
        <v>71</v>
      </c>
      <c r="E50" s="11" t="s">
        <v>196</v>
      </c>
      <c r="F50" s="10"/>
      <c r="G50" s="11" t="s">
        <v>877</v>
      </c>
      <c r="H50" s="11">
        <v>1</v>
      </c>
      <c r="I50" s="11" t="s">
        <v>100</v>
      </c>
      <c r="J50" s="25">
        <v>6100</v>
      </c>
      <c r="K50" s="12">
        <v>6100</v>
      </c>
      <c r="L50" s="10"/>
      <c r="M50" s="10"/>
      <c r="N50" s="12">
        <v>6100</v>
      </c>
      <c r="O50" s="12">
        <v>3655.8</v>
      </c>
      <c r="P50" s="12">
        <v>3655.8</v>
      </c>
      <c r="Q50" s="12">
        <v>2444.1999999999998</v>
      </c>
      <c r="R50" s="11" t="s">
        <v>52</v>
      </c>
      <c r="S50" s="10"/>
      <c r="T50" s="10"/>
      <c r="U50" s="11" t="s">
        <v>71</v>
      </c>
      <c r="V50" s="11" t="s">
        <v>197</v>
      </c>
      <c r="W50" s="11" t="s">
        <v>198</v>
      </c>
      <c r="X50" s="10"/>
      <c r="Y50" s="10"/>
      <c r="Z50" s="10"/>
      <c r="AA50" s="10"/>
    </row>
    <row r="51" spans="1:27" hidden="1" x14ac:dyDescent="0.3">
      <c r="A51" s="8">
        <v>46029</v>
      </c>
      <c r="B51" s="8"/>
      <c r="C51" s="10"/>
      <c r="D51" s="11" t="s">
        <v>89</v>
      </c>
      <c r="E51" s="11" t="s">
        <v>199</v>
      </c>
      <c r="F51" s="10"/>
      <c r="G51" s="11" t="s">
        <v>877</v>
      </c>
      <c r="H51" s="11">
        <v>1</v>
      </c>
      <c r="I51" s="11" t="s">
        <v>100</v>
      </c>
      <c r="J51" s="25">
        <v>5250</v>
      </c>
      <c r="K51" s="12">
        <v>5250</v>
      </c>
      <c r="L51" s="10"/>
      <c r="M51" s="10"/>
      <c r="N51" s="12">
        <v>5250</v>
      </c>
      <c r="O51" s="12">
        <v>3655.8</v>
      </c>
      <c r="P51" s="12">
        <v>3655.8</v>
      </c>
      <c r="Q51" s="12">
        <v>1594.2</v>
      </c>
      <c r="R51" s="11" t="s">
        <v>52</v>
      </c>
      <c r="S51" s="10"/>
      <c r="T51" s="10"/>
      <c r="U51" s="11" t="s">
        <v>147</v>
      </c>
      <c r="V51" s="10"/>
      <c r="W51" s="10"/>
      <c r="X51" s="10"/>
      <c r="Y51" s="10"/>
      <c r="Z51" s="10"/>
      <c r="AA51" s="10"/>
    </row>
    <row r="52" spans="1:27" hidden="1" x14ac:dyDescent="0.3">
      <c r="A52" s="8">
        <v>46029</v>
      </c>
      <c r="B52" s="8"/>
      <c r="C52" s="10"/>
      <c r="D52" s="11" t="s">
        <v>71</v>
      </c>
      <c r="E52" s="11" t="s">
        <v>200</v>
      </c>
      <c r="F52" s="10"/>
      <c r="G52" s="11" t="s">
        <v>877</v>
      </c>
      <c r="H52" s="11">
        <v>1</v>
      </c>
      <c r="I52" s="11" t="s">
        <v>100</v>
      </c>
      <c r="J52" s="25">
        <v>6100</v>
      </c>
      <c r="K52" s="12">
        <v>6100</v>
      </c>
      <c r="L52" s="10"/>
      <c r="M52" s="10"/>
      <c r="N52" s="12">
        <v>6100</v>
      </c>
      <c r="O52" s="12">
        <v>3655.8</v>
      </c>
      <c r="P52" s="12">
        <v>3655.8</v>
      </c>
      <c r="Q52" s="12">
        <v>2444.1999999999998</v>
      </c>
      <c r="R52" s="11" t="s">
        <v>52</v>
      </c>
      <c r="S52" s="10"/>
      <c r="T52" s="10"/>
      <c r="U52" s="11" t="s">
        <v>71</v>
      </c>
      <c r="V52" s="11" t="s">
        <v>201</v>
      </c>
      <c r="W52" s="11" t="s">
        <v>202</v>
      </c>
      <c r="X52" s="10"/>
      <c r="Y52" s="10"/>
      <c r="Z52" s="10"/>
      <c r="AA52" s="10"/>
    </row>
    <row r="53" spans="1:27" hidden="1" x14ac:dyDescent="0.3">
      <c r="A53" s="8">
        <v>46029</v>
      </c>
      <c r="B53" s="8"/>
      <c r="C53" s="10"/>
      <c r="D53" s="11" t="s">
        <v>71</v>
      </c>
      <c r="E53" s="11" t="s">
        <v>203</v>
      </c>
      <c r="F53" s="10"/>
      <c r="G53" s="11" t="s">
        <v>878</v>
      </c>
      <c r="H53" s="11">
        <v>1</v>
      </c>
      <c r="I53" s="11" t="s">
        <v>204</v>
      </c>
      <c r="J53" s="25">
        <v>340</v>
      </c>
      <c r="K53" s="12">
        <v>340</v>
      </c>
      <c r="L53" s="10"/>
      <c r="M53" s="10"/>
      <c r="N53" s="12">
        <v>340</v>
      </c>
      <c r="O53" s="12">
        <v>175.33</v>
      </c>
      <c r="P53" s="12">
        <v>175.33</v>
      </c>
      <c r="Q53" s="12">
        <v>164.67</v>
      </c>
      <c r="R53" s="11" t="s">
        <v>52</v>
      </c>
      <c r="S53" s="10"/>
      <c r="T53" s="10"/>
      <c r="U53" s="11" t="s">
        <v>71</v>
      </c>
      <c r="V53" s="11" t="s">
        <v>205</v>
      </c>
      <c r="W53" s="11" t="s">
        <v>206</v>
      </c>
      <c r="X53" s="10"/>
      <c r="Y53" s="10"/>
      <c r="Z53" s="10"/>
      <c r="AA53" s="10"/>
    </row>
    <row r="54" spans="1:27" hidden="1" x14ac:dyDescent="0.3">
      <c r="A54" s="8">
        <v>46029</v>
      </c>
      <c r="B54" s="8"/>
      <c r="C54" s="10"/>
      <c r="D54" s="11" t="s">
        <v>207</v>
      </c>
      <c r="E54" s="11" t="s">
        <v>208</v>
      </c>
      <c r="F54" s="10"/>
      <c r="G54" s="11" t="s">
        <v>877</v>
      </c>
      <c r="H54" s="11">
        <v>25</v>
      </c>
      <c r="I54" s="11" t="s">
        <v>100</v>
      </c>
      <c r="J54" s="25">
        <v>5200</v>
      </c>
      <c r="K54" s="12">
        <v>130000</v>
      </c>
      <c r="L54" s="10"/>
      <c r="M54" s="10"/>
      <c r="N54" s="12">
        <v>130000</v>
      </c>
      <c r="O54" s="12">
        <v>3655.8</v>
      </c>
      <c r="P54" s="12">
        <v>91395</v>
      </c>
      <c r="Q54" s="12">
        <v>38605</v>
      </c>
      <c r="R54" s="11" t="s">
        <v>52</v>
      </c>
      <c r="S54" s="10"/>
      <c r="T54" s="10"/>
      <c r="U54" s="11" t="s">
        <v>207</v>
      </c>
      <c r="V54" s="10"/>
      <c r="W54" s="10"/>
      <c r="X54" s="10"/>
      <c r="Y54" s="10"/>
      <c r="Z54" s="10"/>
      <c r="AA54" s="10"/>
    </row>
    <row r="55" spans="1:27" hidden="1" x14ac:dyDescent="0.3">
      <c r="A55" s="8">
        <v>46029</v>
      </c>
      <c r="B55" s="8"/>
      <c r="C55" s="10"/>
      <c r="D55" s="11" t="s">
        <v>209</v>
      </c>
      <c r="E55" s="11" t="s">
        <v>210</v>
      </c>
      <c r="F55" s="10"/>
      <c r="G55" s="11" t="s">
        <v>877</v>
      </c>
      <c r="H55" s="11">
        <v>5</v>
      </c>
      <c r="I55" s="11" t="s">
        <v>100</v>
      </c>
      <c r="J55" s="25">
        <v>5000</v>
      </c>
      <c r="K55" s="12">
        <v>25000</v>
      </c>
      <c r="L55" s="10"/>
      <c r="M55" s="10"/>
      <c r="N55" s="12">
        <v>25000</v>
      </c>
      <c r="O55" s="12">
        <v>3655.8</v>
      </c>
      <c r="P55" s="12">
        <v>18279</v>
      </c>
      <c r="Q55" s="12">
        <v>6721</v>
      </c>
      <c r="R55" s="11" t="s">
        <v>52</v>
      </c>
      <c r="S55" s="10"/>
      <c r="T55" s="10"/>
      <c r="U55" s="11" t="s">
        <v>147</v>
      </c>
      <c r="V55" s="10"/>
      <c r="W55" s="10"/>
      <c r="X55" s="10"/>
      <c r="Y55" s="10"/>
      <c r="Z55" s="10"/>
      <c r="AA55" s="10"/>
    </row>
    <row r="56" spans="1:27" hidden="1" x14ac:dyDescent="0.3">
      <c r="A56" s="8">
        <v>46029</v>
      </c>
      <c r="B56" s="8"/>
      <c r="C56" s="10"/>
      <c r="D56" s="11" t="s">
        <v>71</v>
      </c>
      <c r="E56" s="11" t="s">
        <v>211</v>
      </c>
      <c r="F56" s="10"/>
      <c r="G56" s="11" t="s">
        <v>111</v>
      </c>
      <c r="H56" s="11">
        <v>1</v>
      </c>
      <c r="I56" s="11" t="s">
        <v>74</v>
      </c>
      <c r="J56" s="25">
        <v>1249</v>
      </c>
      <c r="K56" s="12">
        <v>1249</v>
      </c>
      <c r="L56" s="15">
        <v>1115.18</v>
      </c>
      <c r="M56" s="11">
        <v>133.82</v>
      </c>
      <c r="N56" s="10"/>
      <c r="O56" s="12">
        <v>870</v>
      </c>
      <c r="P56" s="12">
        <v>870</v>
      </c>
      <c r="Q56" s="12">
        <v>379</v>
      </c>
      <c r="R56" s="11" t="s">
        <v>52</v>
      </c>
      <c r="S56" s="10"/>
      <c r="T56" s="10"/>
      <c r="U56" s="11" t="s">
        <v>71</v>
      </c>
      <c r="V56" s="11" t="s">
        <v>212</v>
      </c>
      <c r="W56" s="11" t="s">
        <v>213</v>
      </c>
      <c r="X56" s="10"/>
      <c r="Y56" s="10"/>
      <c r="Z56" s="10"/>
      <c r="AA56" s="10"/>
    </row>
    <row r="57" spans="1:27" hidden="1" x14ac:dyDescent="0.3">
      <c r="A57" s="8">
        <v>46029</v>
      </c>
      <c r="B57" s="8"/>
      <c r="C57" s="10"/>
      <c r="D57" s="11" t="s">
        <v>71</v>
      </c>
      <c r="E57" s="11" t="s">
        <v>214</v>
      </c>
      <c r="F57" s="10"/>
      <c r="G57" s="11" t="s">
        <v>878</v>
      </c>
      <c r="H57" s="11">
        <v>5</v>
      </c>
      <c r="I57" s="11" t="s">
        <v>204</v>
      </c>
      <c r="J57" s="25">
        <v>340</v>
      </c>
      <c r="K57" s="12">
        <v>1700</v>
      </c>
      <c r="L57" s="10"/>
      <c r="M57" s="10"/>
      <c r="N57" s="12">
        <v>1700</v>
      </c>
      <c r="O57" s="12">
        <v>175.33</v>
      </c>
      <c r="P57" s="12">
        <v>876.65</v>
      </c>
      <c r="Q57" s="12">
        <v>823.35</v>
      </c>
      <c r="R57" s="11" t="s">
        <v>52</v>
      </c>
      <c r="S57" s="10"/>
      <c r="T57" s="10"/>
      <c r="U57" s="11" t="s">
        <v>71</v>
      </c>
      <c r="V57" s="11" t="s">
        <v>215</v>
      </c>
      <c r="W57" s="11" t="s">
        <v>216</v>
      </c>
      <c r="X57" s="10"/>
      <c r="Y57" s="10"/>
      <c r="Z57" s="10"/>
      <c r="AA57" s="10"/>
    </row>
    <row r="58" spans="1:27" hidden="1" x14ac:dyDescent="0.3">
      <c r="A58" s="8">
        <v>46029</v>
      </c>
      <c r="B58" s="8"/>
      <c r="C58" s="10"/>
      <c r="D58" s="11" t="s">
        <v>217</v>
      </c>
      <c r="E58" s="11" t="s">
        <v>218</v>
      </c>
      <c r="F58" s="10"/>
      <c r="G58" s="11" t="s">
        <v>219</v>
      </c>
      <c r="H58" s="11">
        <v>4</v>
      </c>
      <c r="I58" s="11" t="s">
        <v>220</v>
      </c>
      <c r="J58" s="25">
        <v>6250</v>
      </c>
      <c r="K58" s="12">
        <v>25000</v>
      </c>
      <c r="L58" s="15">
        <v>22321.43</v>
      </c>
      <c r="M58" s="15">
        <v>2678.57</v>
      </c>
      <c r="N58" s="10"/>
      <c r="O58" s="12">
        <v>4140</v>
      </c>
      <c r="P58" s="12">
        <v>16560</v>
      </c>
      <c r="Q58" s="12">
        <v>8440</v>
      </c>
      <c r="R58" s="11" t="s">
        <v>52</v>
      </c>
      <c r="S58" s="10"/>
      <c r="T58" s="10"/>
      <c r="U58" s="11" t="s">
        <v>147</v>
      </c>
      <c r="V58" s="10"/>
      <c r="W58" s="10"/>
      <c r="X58" s="10"/>
      <c r="Y58" s="10"/>
      <c r="Z58" s="10"/>
      <c r="AA58" s="10"/>
    </row>
    <row r="59" spans="1:27" hidden="1" x14ac:dyDescent="0.3">
      <c r="A59" s="8">
        <v>46029</v>
      </c>
      <c r="B59" s="8"/>
      <c r="C59" s="10"/>
      <c r="D59" s="11" t="s">
        <v>221</v>
      </c>
      <c r="E59" s="11" t="s">
        <v>222</v>
      </c>
      <c r="F59" s="10"/>
      <c r="G59" s="11" t="s">
        <v>85</v>
      </c>
      <c r="H59" s="11">
        <v>3</v>
      </c>
      <c r="I59" s="11" t="s">
        <v>86</v>
      </c>
      <c r="J59" s="25">
        <v>500</v>
      </c>
      <c r="K59" s="12">
        <v>1500</v>
      </c>
      <c r="L59" s="15">
        <v>1339.29</v>
      </c>
      <c r="M59" s="11">
        <v>160.71</v>
      </c>
      <c r="N59" s="10"/>
      <c r="O59" s="11">
        <v>218.56</v>
      </c>
      <c r="P59" s="12">
        <v>655.68</v>
      </c>
      <c r="Q59" s="12">
        <v>844.32</v>
      </c>
      <c r="R59" s="11" t="s">
        <v>52</v>
      </c>
      <c r="S59" s="10"/>
      <c r="T59" s="10"/>
      <c r="U59" s="11" t="s">
        <v>147</v>
      </c>
      <c r="V59" s="10"/>
      <c r="W59" s="10"/>
      <c r="X59" s="10"/>
      <c r="Y59" s="10"/>
      <c r="Z59" s="10"/>
      <c r="AA59" s="10"/>
    </row>
    <row r="60" spans="1:27" hidden="1" x14ac:dyDescent="0.3">
      <c r="A60" s="8">
        <v>46029</v>
      </c>
      <c r="B60" s="8"/>
      <c r="C60" s="10"/>
      <c r="D60" s="11" t="s">
        <v>221</v>
      </c>
      <c r="E60" s="11" t="s">
        <v>222</v>
      </c>
      <c r="F60" s="10"/>
      <c r="G60" s="11" t="s">
        <v>577</v>
      </c>
      <c r="H60" s="11">
        <v>2</v>
      </c>
      <c r="I60" s="11" t="s">
        <v>86</v>
      </c>
      <c r="J60" s="25">
        <v>1800</v>
      </c>
      <c r="K60" s="12">
        <v>3600</v>
      </c>
      <c r="L60" s="15">
        <v>3214.29</v>
      </c>
      <c r="M60" s="11">
        <v>385.71</v>
      </c>
      <c r="N60" s="10"/>
      <c r="O60" s="12">
        <v>474.63</v>
      </c>
      <c r="P60" s="12">
        <v>949.26</v>
      </c>
      <c r="Q60" s="12">
        <v>2650.74</v>
      </c>
      <c r="R60" s="11" t="s">
        <v>52</v>
      </c>
      <c r="S60" s="10"/>
      <c r="T60" s="10"/>
      <c r="U60" s="11" t="s">
        <v>147</v>
      </c>
      <c r="V60" s="10"/>
      <c r="W60" s="10"/>
      <c r="X60" s="10"/>
      <c r="Y60" s="10"/>
      <c r="Z60" s="10"/>
      <c r="AA60" s="10"/>
    </row>
    <row r="61" spans="1:27" hidden="1" x14ac:dyDescent="0.3">
      <c r="A61" s="8">
        <v>46030</v>
      </c>
      <c r="B61" s="8"/>
      <c r="C61" s="10"/>
      <c r="D61" s="11" t="s">
        <v>223</v>
      </c>
      <c r="E61" s="11" t="s">
        <v>224</v>
      </c>
      <c r="F61" s="10"/>
      <c r="G61" s="11" t="s">
        <v>877</v>
      </c>
      <c r="H61" s="11">
        <v>10</v>
      </c>
      <c r="I61" s="11" t="s">
        <v>100</v>
      </c>
      <c r="J61" s="25">
        <v>5500</v>
      </c>
      <c r="K61" s="12">
        <v>55000</v>
      </c>
      <c r="L61" s="10"/>
      <c r="M61" s="10"/>
      <c r="N61" s="12">
        <v>55000</v>
      </c>
      <c r="O61" s="12">
        <v>3655.8</v>
      </c>
      <c r="P61" s="12">
        <v>36558</v>
      </c>
      <c r="Q61" s="12">
        <v>18442</v>
      </c>
      <c r="R61" s="11" t="s">
        <v>52</v>
      </c>
      <c r="S61" s="10"/>
      <c r="T61" s="10"/>
      <c r="U61" s="11" t="s">
        <v>147</v>
      </c>
      <c r="V61" s="10"/>
      <c r="W61" s="10"/>
      <c r="X61" s="10"/>
      <c r="Y61" s="10"/>
      <c r="Z61" s="10"/>
      <c r="AA61" s="10"/>
    </row>
    <row r="62" spans="1:27" hidden="1" x14ac:dyDescent="0.3">
      <c r="A62" s="8">
        <v>46030</v>
      </c>
      <c r="B62" s="8"/>
      <c r="C62" s="10"/>
      <c r="D62" s="11" t="s">
        <v>147</v>
      </c>
      <c r="E62" s="11" t="s">
        <v>225</v>
      </c>
      <c r="F62" s="10"/>
      <c r="G62" s="11" t="s">
        <v>877</v>
      </c>
      <c r="H62" s="11">
        <v>1</v>
      </c>
      <c r="I62" s="11" t="s">
        <v>100</v>
      </c>
      <c r="J62" s="25">
        <v>5000</v>
      </c>
      <c r="K62" s="12">
        <v>5000</v>
      </c>
      <c r="L62" s="10"/>
      <c r="M62" s="10"/>
      <c r="N62" s="12">
        <v>5000</v>
      </c>
      <c r="O62" s="12">
        <v>3655.8</v>
      </c>
      <c r="P62" s="12">
        <v>3655.8</v>
      </c>
      <c r="Q62" s="12">
        <v>1344.2</v>
      </c>
      <c r="R62" s="10"/>
      <c r="S62" s="10"/>
      <c r="T62" s="10"/>
      <c r="U62" s="11" t="s">
        <v>147</v>
      </c>
      <c r="V62" s="10"/>
      <c r="W62" s="10"/>
      <c r="X62" s="10"/>
      <c r="Y62" s="10"/>
      <c r="Z62" s="10"/>
      <c r="AA62" s="10"/>
    </row>
    <row r="63" spans="1:27" hidden="1" x14ac:dyDescent="0.3">
      <c r="A63" s="8">
        <v>46030</v>
      </c>
      <c r="B63" s="8"/>
      <c r="C63" s="10"/>
      <c r="D63" s="11" t="s">
        <v>98</v>
      </c>
      <c r="E63" s="11" t="s">
        <v>50</v>
      </c>
      <c r="F63" s="10"/>
      <c r="G63" s="11" t="s">
        <v>878</v>
      </c>
      <c r="H63" s="11">
        <v>64</v>
      </c>
      <c r="I63" s="11" t="s">
        <v>77</v>
      </c>
      <c r="J63" s="25">
        <v>234.38</v>
      </c>
      <c r="K63" s="12">
        <v>15000</v>
      </c>
      <c r="L63" s="10"/>
      <c r="M63" s="10"/>
      <c r="N63" s="12">
        <v>15000</v>
      </c>
      <c r="O63" s="12">
        <v>175.33</v>
      </c>
      <c r="P63" s="12">
        <v>11221.12</v>
      </c>
      <c r="Q63" s="12">
        <v>3778.88</v>
      </c>
      <c r="R63" s="10"/>
      <c r="S63" s="10"/>
      <c r="T63" s="10"/>
      <c r="U63" s="11" t="s">
        <v>147</v>
      </c>
      <c r="V63" s="10"/>
      <c r="W63" s="10"/>
      <c r="X63" s="10"/>
      <c r="Y63" s="10"/>
      <c r="Z63" s="10"/>
      <c r="AA63" s="10"/>
    </row>
    <row r="64" spans="1:27" hidden="1" x14ac:dyDescent="0.3">
      <c r="A64" s="8">
        <v>46030</v>
      </c>
      <c r="B64" s="8"/>
      <c r="C64" s="10"/>
      <c r="D64" s="11" t="s">
        <v>226</v>
      </c>
      <c r="E64" s="11" t="s">
        <v>227</v>
      </c>
      <c r="F64" s="10"/>
      <c r="G64" s="11" t="s">
        <v>877</v>
      </c>
      <c r="H64" s="11">
        <v>2</v>
      </c>
      <c r="I64" s="11" t="s">
        <v>100</v>
      </c>
      <c r="J64" s="25">
        <v>5000</v>
      </c>
      <c r="K64" s="12">
        <v>10000</v>
      </c>
      <c r="L64" s="10"/>
      <c r="M64" s="10"/>
      <c r="N64" s="12">
        <v>10000</v>
      </c>
      <c r="O64" s="12">
        <v>3655.8</v>
      </c>
      <c r="P64" s="12">
        <v>7311.6</v>
      </c>
      <c r="Q64" s="12">
        <v>2688.4</v>
      </c>
      <c r="R64" s="10"/>
      <c r="S64" s="10"/>
      <c r="T64" s="10"/>
      <c r="U64" s="11" t="s">
        <v>147</v>
      </c>
      <c r="V64" s="10"/>
      <c r="W64" s="10"/>
      <c r="X64" s="10"/>
      <c r="Y64" s="10"/>
      <c r="Z64" s="10"/>
      <c r="AA64" s="10"/>
    </row>
    <row r="65" spans="1:27" hidden="1" x14ac:dyDescent="0.3">
      <c r="A65" s="8">
        <v>46030</v>
      </c>
      <c r="B65" s="8"/>
      <c r="C65" s="10"/>
      <c r="D65" s="11" t="s">
        <v>71</v>
      </c>
      <c r="E65" s="11" t="s">
        <v>228</v>
      </c>
      <c r="F65" s="10"/>
      <c r="G65" s="11" t="s">
        <v>878</v>
      </c>
      <c r="H65" s="11">
        <v>5</v>
      </c>
      <c r="I65" s="11" t="s">
        <v>77</v>
      </c>
      <c r="J65" s="25">
        <v>340</v>
      </c>
      <c r="K65" s="12">
        <v>1700</v>
      </c>
      <c r="L65" s="10"/>
      <c r="M65" s="10"/>
      <c r="N65" s="12">
        <v>1700</v>
      </c>
      <c r="O65" s="12">
        <v>175.33</v>
      </c>
      <c r="P65" s="12">
        <v>876.65</v>
      </c>
      <c r="Q65" s="12">
        <v>823.35</v>
      </c>
      <c r="R65" s="11" t="s">
        <v>52</v>
      </c>
      <c r="S65" s="10"/>
      <c r="T65" s="10"/>
      <c r="U65" s="11" t="s">
        <v>71</v>
      </c>
      <c r="V65" s="11" t="s">
        <v>229</v>
      </c>
      <c r="W65" s="11" t="s">
        <v>230</v>
      </c>
      <c r="X65" s="10"/>
      <c r="Y65" s="10"/>
      <c r="Z65" s="10"/>
      <c r="AA65" s="10"/>
    </row>
    <row r="66" spans="1:27" hidden="1" x14ac:dyDescent="0.3">
      <c r="A66" s="8">
        <v>46031</v>
      </c>
      <c r="B66" s="8"/>
      <c r="C66" s="10"/>
      <c r="D66" s="11" t="s">
        <v>231</v>
      </c>
      <c r="E66" s="11" t="s">
        <v>232</v>
      </c>
      <c r="F66" s="10"/>
      <c r="G66" s="11" t="s">
        <v>877</v>
      </c>
      <c r="H66" s="11">
        <v>4</v>
      </c>
      <c r="I66" s="11" t="s">
        <v>100</v>
      </c>
      <c r="J66" s="25">
        <v>5000</v>
      </c>
      <c r="K66" s="12">
        <v>20000</v>
      </c>
      <c r="L66" s="10"/>
      <c r="M66" s="10"/>
      <c r="N66" s="12">
        <v>20000</v>
      </c>
      <c r="O66" s="12">
        <v>3655.8</v>
      </c>
      <c r="P66" s="12">
        <v>14623.2</v>
      </c>
      <c r="Q66" s="12">
        <v>5376.8</v>
      </c>
      <c r="R66" s="10"/>
      <c r="S66" s="10"/>
      <c r="T66" s="10"/>
      <c r="U66" s="11" t="s">
        <v>71</v>
      </c>
      <c r="V66" s="11" t="s">
        <v>229</v>
      </c>
      <c r="W66" s="11" t="s">
        <v>230</v>
      </c>
      <c r="X66" s="10"/>
      <c r="Y66" s="10"/>
      <c r="Z66" s="10"/>
      <c r="AA66" s="10"/>
    </row>
    <row r="67" spans="1:27" hidden="1" x14ac:dyDescent="0.3">
      <c r="A67" s="8">
        <v>46031</v>
      </c>
      <c r="B67" s="8"/>
      <c r="C67" s="10"/>
      <c r="D67" s="11" t="s">
        <v>71</v>
      </c>
      <c r="E67" s="11" t="s">
        <v>233</v>
      </c>
      <c r="F67" s="10"/>
      <c r="G67" s="11" t="s">
        <v>73</v>
      </c>
      <c r="H67" s="11">
        <v>1</v>
      </c>
      <c r="I67" s="11" t="s">
        <v>234</v>
      </c>
      <c r="J67" s="25">
        <v>655</v>
      </c>
      <c r="K67" s="12">
        <v>655</v>
      </c>
      <c r="L67" s="11">
        <v>584.82000000000005</v>
      </c>
      <c r="M67" s="11">
        <v>70.180000000000007</v>
      </c>
      <c r="N67" s="10"/>
      <c r="O67" s="12">
        <v>395.83</v>
      </c>
      <c r="P67" s="12">
        <v>395.83</v>
      </c>
      <c r="Q67" s="12">
        <v>259.17</v>
      </c>
      <c r="R67" s="11" t="s">
        <v>52</v>
      </c>
      <c r="S67" s="10"/>
      <c r="T67" s="10"/>
      <c r="U67" s="11" t="s">
        <v>71</v>
      </c>
      <c r="V67" s="11" t="s">
        <v>235</v>
      </c>
      <c r="W67" s="11" t="s">
        <v>236</v>
      </c>
      <c r="X67" s="10"/>
      <c r="Y67" s="10"/>
      <c r="Z67" s="10"/>
      <c r="AA67" s="10"/>
    </row>
    <row r="68" spans="1:27" hidden="1" x14ac:dyDescent="0.3">
      <c r="A68" s="8">
        <v>46031</v>
      </c>
      <c r="B68" s="8"/>
      <c r="C68" s="10"/>
      <c r="D68" s="11" t="s">
        <v>71</v>
      </c>
      <c r="E68" s="11" t="s">
        <v>237</v>
      </c>
      <c r="F68" s="10"/>
      <c r="G68" s="11" t="s">
        <v>877</v>
      </c>
      <c r="H68" s="11">
        <v>1</v>
      </c>
      <c r="I68" s="11" t="s">
        <v>100</v>
      </c>
      <c r="J68" s="25">
        <v>6100</v>
      </c>
      <c r="K68" s="12">
        <v>6100</v>
      </c>
      <c r="L68" s="10"/>
      <c r="M68" s="10"/>
      <c r="N68" s="12">
        <v>6100</v>
      </c>
      <c r="O68" s="12">
        <v>3655.8</v>
      </c>
      <c r="P68" s="12">
        <v>3655.8</v>
      </c>
      <c r="Q68" s="12">
        <v>2444.1999999999998</v>
      </c>
      <c r="R68" s="11" t="s">
        <v>52</v>
      </c>
      <c r="S68" s="10"/>
      <c r="T68" s="10"/>
      <c r="U68" s="11" t="s">
        <v>71</v>
      </c>
      <c r="V68" s="11" t="s">
        <v>238</v>
      </c>
      <c r="W68" s="11" t="s">
        <v>239</v>
      </c>
      <c r="X68" s="10"/>
      <c r="Y68" s="10"/>
      <c r="Z68" s="10"/>
      <c r="AA68" s="10"/>
    </row>
    <row r="69" spans="1:27" hidden="1" x14ac:dyDescent="0.3">
      <c r="A69" s="8">
        <v>46032</v>
      </c>
      <c r="B69" s="8"/>
      <c r="C69" s="10"/>
      <c r="D69" s="11" t="s">
        <v>71</v>
      </c>
      <c r="E69" s="11" t="s">
        <v>240</v>
      </c>
      <c r="F69" s="10"/>
      <c r="G69" s="11" t="s">
        <v>107</v>
      </c>
      <c r="H69" s="11">
        <v>2</v>
      </c>
      <c r="I69" s="11" t="s">
        <v>234</v>
      </c>
      <c r="J69" s="25">
        <v>850</v>
      </c>
      <c r="K69" s="12">
        <v>1700</v>
      </c>
      <c r="L69" s="15">
        <v>1517.86</v>
      </c>
      <c r="M69" s="11">
        <v>182.14</v>
      </c>
      <c r="N69" s="10"/>
      <c r="O69" s="12">
        <v>583.83000000000004</v>
      </c>
      <c r="P69" s="12">
        <v>1167.6600000000001</v>
      </c>
      <c r="Q69" s="12">
        <v>532.34</v>
      </c>
      <c r="R69" s="11" t="s">
        <v>52</v>
      </c>
      <c r="S69" s="10"/>
      <c r="T69" s="10"/>
      <c r="U69" s="11" t="s">
        <v>71</v>
      </c>
      <c r="V69" s="11" t="s">
        <v>241</v>
      </c>
      <c r="W69" s="11" t="s">
        <v>242</v>
      </c>
      <c r="X69" s="10"/>
      <c r="Y69" s="10"/>
      <c r="Z69" s="10"/>
      <c r="AA69" s="10"/>
    </row>
    <row r="70" spans="1:27" hidden="1" x14ac:dyDescent="0.3">
      <c r="A70" s="8">
        <v>46032</v>
      </c>
      <c r="B70" s="8"/>
      <c r="C70" s="10"/>
      <c r="D70" s="11" t="s">
        <v>71</v>
      </c>
      <c r="E70" s="11" t="s">
        <v>243</v>
      </c>
      <c r="F70" s="10"/>
      <c r="G70" s="11" t="s">
        <v>878</v>
      </c>
      <c r="H70" s="11">
        <v>1</v>
      </c>
      <c r="I70" s="11" t="s">
        <v>77</v>
      </c>
      <c r="J70" s="25">
        <v>340</v>
      </c>
      <c r="K70" s="12">
        <v>340</v>
      </c>
      <c r="L70" s="10"/>
      <c r="M70" s="10"/>
      <c r="N70" s="12">
        <v>340</v>
      </c>
      <c r="O70" s="12">
        <v>175.33</v>
      </c>
      <c r="P70" s="12">
        <v>175.33</v>
      </c>
      <c r="Q70" s="12">
        <v>164.67</v>
      </c>
      <c r="R70" s="11" t="s">
        <v>52</v>
      </c>
      <c r="S70" s="10"/>
      <c r="T70" s="10"/>
      <c r="U70" s="11" t="s">
        <v>71</v>
      </c>
      <c r="V70" s="11" t="s">
        <v>244</v>
      </c>
      <c r="W70" s="11" t="s">
        <v>245</v>
      </c>
      <c r="X70" s="10"/>
      <c r="Y70" s="10"/>
      <c r="Z70" s="10"/>
      <c r="AA70" s="10"/>
    </row>
    <row r="71" spans="1:27" hidden="1" x14ac:dyDescent="0.3">
      <c r="A71" s="8">
        <v>46032</v>
      </c>
      <c r="B71" s="8"/>
      <c r="C71" s="10"/>
      <c r="D71" s="11" t="s">
        <v>71</v>
      </c>
      <c r="E71" s="11" t="s">
        <v>246</v>
      </c>
      <c r="F71" s="10"/>
      <c r="G71" s="11" t="s">
        <v>73</v>
      </c>
      <c r="H71" s="11">
        <v>1</v>
      </c>
      <c r="I71" s="11" t="s">
        <v>74</v>
      </c>
      <c r="J71" s="25">
        <v>655</v>
      </c>
      <c r="K71" s="12">
        <v>655</v>
      </c>
      <c r="L71" s="11">
        <v>584.82000000000005</v>
      </c>
      <c r="M71" s="11">
        <v>70.180000000000007</v>
      </c>
      <c r="N71" s="10"/>
      <c r="O71" s="12">
        <v>395.83</v>
      </c>
      <c r="P71" s="12">
        <v>395.83</v>
      </c>
      <c r="Q71" s="12">
        <v>259.17</v>
      </c>
      <c r="R71" s="11" t="s">
        <v>52</v>
      </c>
      <c r="S71" s="10"/>
      <c r="T71" s="10"/>
      <c r="U71" s="11" t="s">
        <v>71</v>
      </c>
      <c r="V71" s="11" t="s">
        <v>247</v>
      </c>
      <c r="W71" s="11" t="s">
        <v>248</v>
      </c>
      <c r="X71" s="10"/>
      <c r="Y71" s="10"/>
      <c r="Z71" s="10"/>
      <c r="AA71" s="10"/>
    </row>
    <row r="72" spans="1:27" hidden="1" x14ac:dyDescent="0.3">
      <c r="A72" s="8">
        <v>46032</v>
      </c>
      <c r="B72" s="8"/>
      <c r="C72" s="10"/>
      <c r="D72" s="11" t="s">
        <v>147</v>
      </c>
      <c r="E72" s="11" t="s">
        <v>249</v>
      </c>
      <c r="F72" s="10"/>
      <c r="G72" s="11" t="s">
        <v>878</v>
      </c>
      <c r="H72" s="11">
        <v>5</v>
      </c>
      <c r="I72" s="11" t="s">
        <v>77</v>
      </c>
      <c r="J72" s="25">
        <v>340</v>
      </c>
      <c r="K72" s="12">
        <v>1700</v>
      </c>
      <c r="L72" s="10"/>
      <c r="M72" s="10"/>
      <c r="N72" s="12">
        <v>1700</v>
      </c>
      <c r="O72" s="12">
        <v>175.33</v>
      </c>
      <c r="P72" s="12">
        <v>876.65</v>
      </c>
      <c r="Q72" s="12">
        <v>823.35</v>
      </c>
      <c r="R72" s="10"/>
      <c r="S72" s="10"/>
      <c r="T72" s="10"/>
      <c r="U72" s="11" t="s">
        <v>147</v>
      </c>
      <c r="V72" s="10"/>
      <c r="W72" s="10"/>
      <c r="X72" s="10"/>
      <c r="Y72" s="10"/>
      <c r="Z72" s="10"/>
      <c r="AA72" s="10"/>
    </row>
    <row r="73" spans="1:27" hidden="1" x14ac:dyDescent="0.3">
      <c r="A73" s="8">
        <v>46034</v>
      </c>
      <c r="B73" s="8"/>
      <c r="C73" s="10"/>
      <c r="D73" s="11" t="s">
        <v>147</v>
      </c>
      <c r="E73" s="11" t="s">
        <v>250</v>
      </c>
      <c r="F73" s="10"/>
      <c r="G73" s="11" t="s">
        <v>878</v>
      </c>
      <c r="H73" s="11">
        <v>3</v>
      </c>
      <c r="I73" s="11" t="s">
        <v>77</v>
      </c>
      <c r="J73" s="25">
        <v>340</v>
      </c>
      <c r="K73" s="12">
        <v>1020</v>
      </c>
      <c r="L73" s="10"/>
      <c r="M73" s="10"/>
      <c r="N73" s="10"/>
      <c r="O73" s="12">
        <v>175.33</v>
      </c>
      <c r="P73" s="12">
        <v>525.99</v>
      </c>
      <c r="Q73" s="12">
        <v>494.01</v>
      </c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 hidden="1" x14ac:dyDescent="0.3">
      <c r="A74" s="8">
        <v>46034</v>
      </c>
      <c r="B74" s="8"/>
      <c r="C74" s="10"/>
      <c r="D74" s="11" t="s">
        <v>71</v>
      </c>
      <c r="E74" s="11" t="s">
        <v>251</v>
      </c>
      <c r="F74" s="10"/>
      <c r="G74" s="11" t="s">
        <v>878</v>
      </c>
      <c r="H74" s="11">
        <v>1</v>
      </c>
      <c r="I74" s="11" t="s">
        <v>77</v>
      </c>
      <c r="J74" s="25">
        <v>340</v>
      </c>
      <c r="K74" s="12">
        <v>340</v>
      </c>
      <c r="L74" s="10"/>
      <c r="M74" s="10"/>
      <c r="N74" s="12">
        <v>340</v>
      </c>
      <c r="O74" s="12">
        <v>175.33</v>
      </c>
      <c r="P74" s="12">
        <v>175.33</v>
      </c>
      <c r="Q74" s="12">
        <v>164.67</v>
      </c>
      <c r="R74" s="11" t="s">
        <v>52</v>
      </c>
      <c r="S74" s="10"/>
      <c r="T74" s="10"/>
      <c r="U74" s="11" t="s">
        <v>71</v>
      </c>
      <c r="V74" s="11" t="s">
        <v>252</v>
      </c>
      <c r="W74" s="11" t="s">
        <v>253</v>
      </c>
      <c r="X74" s="10"/>
      <c r="Y74" s="10"/>
      <c r="Z74" s="10"/>
      <c r="AA74" s="10"/>
    </row>
    <row r="75" spans="1:27" hidden="1" x14ac:dyDescent="0.3">
      <c r="A75" s="8">
        <v>46034</v>
      </c>
      <c r="B75" s="8"/>
      <c r="C75" s="10"/>
      <c r="D75" s="11" t="s">
        <v>71</v>
      </c>
      <c r="E75" s="11" t="s">
        <v>254</v>
      </c>
      <c r="F75" s="10"/>
      <c r="G75" s="11" t="s">
        <v>255</v>
      </c>
      <c r="H75" s="11">
        <v>1</v>
      </c>
      <c r="I75" s="11" t="s">
        <v>220</v>
      </c>
      <c r="J75" s="25">
        <v>6250</v>
      </c>
      <c r="K75" s="12">
        <v>6250</v>
      </c>
      <c r="L75" s="10"/>
      <c r="M75" s="10"/>
      <c r="N75" s="12">
        <v>6250</v>
      </c>
      <c r="O75" s="12">
        <v>4140</v>
      </c>
      <c r="P75" s="12">
        <v>4140</v>
      </c>
      <c r="Q75" s="12">
        <v>2110</v>
      </c>
      <c r="R75" s="11" t="s">
        <v>52</v>
      </c>
      <c r="S75" s="10"/>
      <c r="T75" s="10"/>
      <c r="U75" s="11" t="s">
        <v>71</v>
      </c>
      <c r="V75" s="11" t="s">
        <v>256</v>
      </c>
      <c r="W75" s="11" t="s">
        <v>257</v>
      </c>
      <c r="X75" s="10"/>
      <c r="Y75" s="10"/>
      <c r="Z75" s="10"/>
      <c r="AA75" s="10"/>
    </row>
    <row r="76" spans="1:27" hidden="1" x14ac:dyDescent="0.3">
      <c r="A76" s="8">
        <v>46034</v>
      </c>
      <c r="B76" s="8"/>
      <c r="C76" s="10"/>
      <c r="D76" s="11" t="s">
        <v>71</v>
      </c>
      <c r="E76" s="11" t="s">
        <v>258</v>
      </c>
      <c r="F76" s="10"/>
      <c r="G76" s="11" t="s">
        <v>259</v>
      </c>
      <c r="H76" s="11">
        <v>2</v>
      </c>
      <c r="I76" s="11" t="s">
        <v>130</v>
      </c>
      <c r="J76" s="25">
        <v>300</v>
      </c>
      <c r="K76" s="12">
        <v>600</v>
      </c>
      <c r="L76" s="11">
        <v>535.71</v>
      </c>
      <c r="M76" s="11">
        <v>64.290000000000006</v>
      </c>
      <c r="N76" s="10"/>
      <c r="O76" s="12">
        <v>84.68</v>
      </c>
      <c r="P76" s="12">
        <v>169.36</v>
      </c>
      <c r="Q76" s="12">
        <v>430.64</v>
      </c>
      <c r="R76" s="11" t="s">
        <v>52</v>
      </c>
      <c r="S76" s="10"/>
      <c r="T76" s="10"/>
      <c r="U76" s="11" t="s">
        <v>71</v>
      </c>
      <c r="V76" s="11" t="s">
        <v>260</v>
      </c>
      <c r="W76" s="11" t="s">
        <v>261</v>
      </c>
      <c r="X76" s="10"/>
      <c r="Y76" s="10"/>
      <c r="Z76" s="10"/>
      <c r="AA76" s="10"/>
    </row>
    <row r="77" spans="1:27" hidden="1" x14ac:dyDescent="0.3">
      <c r="A77" s="8">
        <v>46034</v>
      </c>
      <c r="B77" s="8"/>
      <c r="C77" s="10"/>
      <c r="D77" s="11" t="s">
        <v>71</v>
      </c>
      <c r="E77" s="11" t="s">
        <v>262</v>
      </c>
      <c r="F77" s="10"/>
      <c r="G77" s="11" t="s">
        <v>877</v>
      </c>
      <c r="H77" s="11">
        <v>1</v>
      </c>
      <c r="I77" s="11" t="s">
        <v>100</v>
      </c>
      <c r="J77" s="25">
        <v>6100</v>
      </c>
      <c r="K77" s="12">
        <v>6100</v>
      </c>
      <c r="L77" s="10"/>
      <c r="M77" s="10"/>
      <c r="N77" s="12">
        <v>6100</v>
      </c>
      <c r="O77" s="12">
        <v>3655.8</v>
      </c>
      <c r="P77" s="12">
        <v>3655.8</v>
      </c>
      <c r="Q77" s="12">
        <v>2444.1999999999998</v>
      </c>
      <c r="R77" s="11" t="s">
        <v>52</v>
      </c>
      <c r="S77" s="10"/>
      <c r="T77" s="10"/>
      <c r="U77" s="11" t="s">
        <v>71</v>
      </c>
      <c r="V77" s="11" t="s">
        <v>263</v>
      </c>
      <c r="W77" s="11" t="s">
        <v>264</v>
      </c>
      <c r="X77" s="10"/>
      <c r="Y77" s="10"/>
      <c r="Z77" s="10"/>
      <c r="AA77" s="10"/>
    </row>
    <row r="78" spans="1:27" hidden="1" x14ac:dyDescent="0.3">
      <c r="A78" s="8">
        <v>46034</v>
      </c>
      <c r="B78" s="8"/>
      <c r="C78" s="10"/>
      <c r="D78" s="11" t="s">
        <v>71</v>
      </c>
      <c r="E78" s="11" t="s">
        <v>265</v>
      </c>
      <c r="F78" s="10"/>
      <c r="G78" s="11" t="s">
        <v>878</v>
      </c>
      <c r="H78" s="11">
        <v>4</v>
      </c>
      <c r="I78" s="11" t="s">
        <v>77</v>
      </c>
      <c r="J78" s="25">
        <v>340</v>
      </c>
      <c r="K78" s="12">
        <v>1360</v>
      </c>
      <c r="L78" s="10"/>
      <c r="M78" s="10"/>
      <c r="N78" s="12">
        <v>1360</v>
      </c>
      <c r="O78" s="12">
        <v>175.33</v>
      </c>
      <c r="P78" s="12">
        <v>701.32</v>
      </c>
      <c r="Q78" s="12">
        <v>658.68</v>
      </c>
      <c r="R78" s="11" t="s">
        <v>52</v>
      </c>
      <c r="S78" s="10"/>
      <c r="T78" s="10"/>
      <c r="U78" s="11" t="s">
        <v>71</v>
      </c>
      <c r="V78" s="11" t="s">
        <v>266</v>
      </c>
      <c r="W78" s="11" t="s">
        <v>267</v>
      </c>
      <c r="X78" s="10"/>
      <c r="Y78" s="10"/>
      <c r="Z78" s="10"/>
      <c r="AA78" s="10"/>
    </row>
    <row r="79" spans="1:27" hidden="1" x14ac:dyDescent="0.3">
      <c r="A79" s="8">
        <v>46034</v>
      </c>
      <c r="B79" s="8"/>
      <c r="C79" s="10"/>
      <c r="D79" s="11" t="s">
        <v>71</v>
      </c>
      <c r="E79" s="11" t="s">
        <v>75</v>
      </c>
      <c r="F79" s="10"/>
      <c r="G79" s="11" t="s">
        <v>878</v>
      </c>
      <c r="H79" s="11">
        <v>3</v>
      </c>
      <c r="I79" s="11" t="s">
        <v>77</v>
      </c>
      <c r="J79" s="25">
        <v>340</v>
      </c>
      <c r="K79" s="12">
        <v>1020</v>
      </c>
      <c r="L79" s="10"/>
      <c r="M79" s="10"/>
      <c r="N79" s="12">
        <v>1020</v>
      </c>
      <c r="O79" s="12">
        <v>175.33</v>
      </c>
      <c r="P79" s="12">
        <v>525.99</v>
      </c>
      <c r="Q79" s="12">
        <v>494.01</v>
      </c>
      <c r="R79" s="11" t="s">
        <v>52</v>
      </c>
      <c r="S79" s="10"/>
      <c r="T79" s="10"/>
      <c r="U79" s="11" t="s">
        <v>71</v>
      </c>
      <c r="V79" s="11" t="s">
        <v>78</v>
      </c>
      <c r="W79" s="11" t="s">
        <v>79</v>
      </c>
      <c r="X79" s="10"/>
      <c r="Y79" s="10"/>
      <c r="Z79" s="10"/>
      <c r="AA79" s="10"/>
    </row>
    <row r="80" spans="1:27" hidden="1" x14ac:dyDescent="0.3">
      <c r="A80" s="8">
        <v>46034</v>
      </c>
      <c r="B80" s="8"/>
      <c r="C80" s="10"/>
      <c r="D80" s="11" t="s">
        <v>71</v>
      </c>
      <c r="E80" s="11" t="s">
        <v>75</v>
      </c>
      <c r="F80" s="10"/>
      <c r="G80" s="11" t="s">
        <v>259</v>
      </c>
      <c r="H80" s="11">
        <v>1</v>
      </c>
      <c r="I80" s="11" t="s">
        <v>268</v>
      </c>
      <c r="J80" s="25">
        <v>300</v>
      </c>
      <c r="K80" s="12">
        <v>300</v>
      </c>
      <c r="L80" s="11">
        <v>267.86</v>
      </c>
      <c r="M80" s="11">
        <v>32.14</v>
      </c>
      <c r="N80" s="10"/>
      <c r="O80" s="12">
        <v>84.68</v>
      </c>
      <c r="P80" s="12">
        <v>84.68</v>
      </c>
      <c r="Q80" s="12">
        <v>215.32</v>
      </c>
      <c r="R80" s="11" t="s">
        <v>52</v>
      </c>
      <c r="S80" s="10"/>
      <c r="T80" s="10"/>
      <c r="U80" s="11" t="s">
        <v>71</v>
      </c>
      <c r="V80" s="11" t="s">
        <v>78</v>
      </c>
      <c r="W80" s="11" t="s">
        <v>79</v>
      </c>
      <c r="X80" s="10"/>
      <c r="Y80" s="10"/>
      <c r="Z80" s="10"/>
      <c r="AA80" s="10"/>
    </row>
    <row r="81" spans="1:27" hidden="1" x14ac:dyDescent="0.3">
      <c r="A81" s="8">
        <v>46034</v>
      </c>
      <c r="B81" s="8"/>
      <c r="C81" s="10"/>
      <c r="D81" s="11" t="s">
        <v>71</v>
      </c>
      <c r="E81" s="11" t="s">
        <v>269</v>
      </c>
      <c r="F81" s="10"/>
      <c r="G81" s="11" t="s">
        <v>368</v>
      </c>
      <c r="H81" s="11">
        <v>3</v>
      </c>
      <c r="I81" s="11" t="s">
        <v>149</v>
      </c>
      <c r="J81" s="25">
        <v>300</v>
      </c>
      <c r="K81" s="12">
        <v>900</v>
      </c>
      <c r="L81" s="11">
        <v>803.57</v>
      </c>
      <c r="M81" s="11">
        <v>96.43</v>
      </c>
      <c r="N81" s="10"/>
      <c r="O81" s="12">
        <v>55.01</v>
      </c>
      <c r="P81" s="12">
        <v>165.03</v>
      </c>
      <c r="Q81" s="12">
        <v>734.97</v>
      </c>
      <c r="R81" s="11" t="s">
        <v>52</v>
      </c>
      <c r="S81" s="10"/>
      <c r="T81" s="10"/>
      <c r="U81" s="11" t="s">
        <v>71</v>
      </c>
      <c r="V81" s="11" t="s">
        <v>270</v>
      </c>
      <c r="W81" s="11" t="s">
        <v>271</v>
      </c>
      <c r="X81" s="10"/>
      <c r="Y81" s="10"/>
      <c r="Z81" s="10"/>
      <c r="AA81" s="10"/>
    </row>
    <row r="82" spans="1:27" hidden="1" x14ac:dyDescent="0.3">
      <c r="A82" s="8">
        <v>46034</v>
      </c>
      <c r="B82" s="8"/>
      <c r="C82" s="10"/>
      <c r="D82" s="11" t="s">
        <v>71</v>
      </c>
      <c r="E82" s="11" t="s">
        <v>272</v>
      </c>
      <c r="F82" s="10"/>
      <c r="G82" s="11" t="s">
        <v>878</v>
      </c>
      <c r="H82" s="11">
        <v>1</v>
      </c>
      <c r="I82" s="11" t="s">
        <v>77</v>
      </c>
      <c r="J82" s="25">
        <v>340</v>
      </c>
      <c r="K82" s="12">
        <v>340</v>
      </c>
      <c r="L82" s="10"/>
      <c r="M82" s="10"/>
      <c r="N82" s="12">
        <v>340</v>
      </c>
      <c r="O82" s="12">
        <v>175.33</v>
      </c>
      <c r="P82" s="12">
        <v>175.33</v>
      </c>
      <c r="Q82" s="12">
        <v>164.67</v>
      </c>
      <c r="R82" s="11" t="s">
        <v>52</v>
      </c>
      <c r="S82" s="10"/>
      <c r="T82" s="10"/>
      <c r="U82" s="11" t="s">
        <v>71</v>
      </c>
      <c r="V82" s="11" t="s">
        <v>273</v>
      </c>
      <c r="W82" s="11" t="s">
        <v>274</v>
      </c>
      <c r="X82" s="10"/>
      <c r="Y82" s="10"/>
      <c r="Z82" s="10"/>
      <c r="AA82" s="10"/>
    </row>
    <row r="83" spans="1:27" hidden="1" x14ac:dyDescent="0.3">
      <c r="A83" s="8">
        <v>46034</v>
      </c>
      <c r="B83" s="8"/>
      <c r="C83" s="10"/>
      <c r="D83" s="11" t="s">
        <v>275</v>
      </c>
      <c r="E83" s="11" t="s">
        <v>276</v>
      </c>
      <c r="F83" s="10"/>
      <c r="G83" s="11" t="s">
        <v>877</v>
      </c>
      <c r="H83" s="11">
        <v>60</v>
      </c>
      <c r="I83" s="11" t="s">
        <v>100</v>
      </c>
      <c r="J83" s="25">
        <v>4500</v>
      </c>
      <c r="K83" s="12">
        <v>270000</v>
      </c>
      <c r="L83" s="10"/>
      <c r="M83" s="10"/>
      <c r="N83" s="12">
        <v>270000</v>
      </c>
      <c r="O83" s="12">
        <v>3655.8</v>
      </c>
      <c r="P83" s="12">
        <v>219348</v>
      </c>
      <c r="Q83" s="12">
        <v>50652</v>
      </c>
      <c r="R83" s="10"/>
      <c r="S83" s="10"/>
      <c r="T83" s="10"/>
      <c r="U83" s="11" t="s">
        <v>71</v>
      </c>
      <c r="V83" s="11" t="s">
        <v>277</v>
      </c>
      <c r="W83" s="10"/>
      <c r="X83" s="10"/>
      <c r="Y83" s="10"/>
      <c r="Z83" s="10"/>
      <c r="AA83" s="10"/>
    </row>
    <row r="84" spans="1:27" x14ac:dyDescent="0.3">
      <c r="A84" s="8">
        <v>46034</v>
      </c>
      <c r="B84" s="8"/>
      <c r="C84" s="10"/>
      <c r="D84" s="11" t="s">
        <v>275</v>
      </c>
      <c r="E84" s="11" t="s">
        <v>276</v>
      </c>
      <c r="F84" s="10"/>
      <c r="G84" s="11" t="s">
        <v>182</v>
      </c>
      <c r="H84" s="11">
        <v>1</v>
      </c>
      <c r="I84" s="11" t="s">
        <v>183</v>
      </c>
      <c r="J84" s="25">
        <v>25000</v>
      </c>
      <c r="K84" s="12">
        <v>25000</v>
      </c>
      <c r="L84" s="10"/>
      <c r="M84" s="10"/>
      <c r="N84" s="12">
        <v>25000</v>
      </c>
      <c r="O84" s="11" t="s">
        <v>80</v>
      </c>
      <c r="P84" s="11" t="s">
        <v>80</v>
      </c>
      <c r="Q84" s="12">
        <v>25000</v>
      </c>
      <c r="R84" s="10"/>
      <c r="S84" s="10"/>
      <c r="T84" s="10"/>
      <c r="U84" s="11" t="s">
        <v>71</v>
      </c>
      <c r="V84" s="11" t="s">
        <v>277</v>
      </c>
      <c r="W84" s="10"/>
      <c r="X84" s="10"/>
      <c r="Y84" s="10"/>
      <c r="Z84" s="10"/>
      <c r="AA84" s="10"/>
    </row>
    <row r="85" spans="1:27" hidden="1" x14ac:dyDescent="0.3">
      <c r="A85" s="8">
        <v>46034</v>
      </c>
      <c r="B85" s="8"/>
      <c r="C85" s="10"/>
      <c r="D85" s="11" t="s">
        <v>71</v>
      </c>
      <c r="E85" s="11" t="s">
        <v>278</v>
      </c>
      <c r="F85" s="10"/>
      <c r="G85" s="11" t="s">
        <v>878</v>
      </c>
      <c r="H85" s="11">
        <v>9</v>
      </c>
      <c r="I85" s="11" t="s">
        <v>77</v>
      </c>
      <c r="J85" s="25">
        <v>340</v>
      </c>
      <c r="K85" s="12">
        <v>3060</v>
      </c>
      <c r="L85" s="10"/>
      <c r="M85" s="10"/>
      <c r="N85" s="12">
        <v>3060</v>
      </c>
      <c r="O85" s="12">
        <v>175.33</v>
      </c>
      <c r="P85" s="12">
        <v>1577.97</v>
      </c>
      <c r="Q85" s="12">
        <v>1482.03</v>
      </c>
      <c r="R85" s="11" t="s">
        <v>52</v>
      </c>
      <c r="S85" s="10"/>
      <c r="T85" s="10"/>
      <c r="U85" s="11" t="s">
        <v>71</v>
      </c>
      <c r="V85" s="11" t="s">
        <v>279</v>
      </c>
      <c r="W85" s="11" t="s">
        <v>280</v>
      </c>
      <c r="X85" s="10"/>
      <c r="Y85" s="10"/>
      <c r="Z85" s="10"/>
      <c r="AA85" s="10"/>
    </row>
    <row r="86" spans="1:27" hidden="1" x14ac:dyDescent="0.3">
      <c r="A86" s="8">
        <v>46034</v>
      </c>
      <c r="B86" s="8"/>
      <c r="C86" s="10"/>
      <c r="D86" s="11" t="s">
        <v>71</v>
      </c>
      <c r="E86" s="11" t="s">
        <v>278</v>
      </c>
      <c r="F86" s="10"/>
      <c r="G86" s="11" t="s">
        <v>855</v>
      </c>
      <c r="H86" s="11">
        <v>1</v>
      </c>
      <c r="I86" s="11" t="s">
        <v>86</v>
      </c>
      <c r="J86" s="25">
        <v>1500</v>
      </c>
      <c r="K86" s="12">
        <v>1500</v>
      </c>
      <c r="L86" s="15">
        <v>1339.29</v>
      </c>
      <c r="M86" s="11">
        <v>160.71</v>
      </c>
      <c r="N86" s="10"/>
      <c r="O86" s="12">
        <v>826.98</v>
      </c>
      <c r="P86" s="12">
        <v>826.98</v>
      </c>
      <c r="Q86" s="12">
        <v>673.02</v>
      </c>
      <c r="R86" s="11" t="s">
        <v>52</v>
      </c>
      <c r="S86" s="10"/>
      <c r="T86" s="10"/>
      <c r="U86" s="11" t="s">
        <v>71</v>
      </c>
      <c r="V86" s="11" t="s">
        <v>279</v>
      </c>
      <c r="W86" s="11" t="s">
        <v>280</v>
      </c>
      <c r="X86" s="10"/>
      <c r="Y86" s="10"/>
      <c r="Z86" s="10"/>
      <c r="AA86" s="10"/>
    </row>
    <row r="87" spans="1:27" hidden="1" x14ac:dyDescent="0.3">
      <c r="A87" s="8">
        <v>46035</v>
      </c>
      <c r="B87" s="8"/>
      <c r="C87" s="10"/>
      <c r="D87" s="11" t="s">
        <v>71</v>
      </c>
      <c r="E87" s="11" t="s">
        <v>281</v>
      </c>
      <c r="F87" s="10"/>
      <c r="G87" s="11" t="s">
        <v>878</v>
      </c>
      <c r="H87" s="11">
        <v>1</v>
      </c>
      <c r="I87" s="11" t="s">
        <v>77</v>
      </c>
      <c r="J87" s="25">
        <v>340</v>
      </c>
      <c r="K87" s="12">
        <v>340</v>
      </c>
      <c r="L87" s="10"/>
      <c r="M87" s="10"/>
      <c r="N87" s="12">
        <v>340</v>
      </c>
      <c r="O87" s="12">
        <v>175.33</v>
      </c>
      <c r="P87" s="12">
        <v>175.33</v>
      </c>
      <c r="Q87" s="12">
        <v>164.67</v>
      </c>
      <c r="R87" s="11" t="s">
        <v>52</v>
      </c>
      <c r="S87" s="10"/>
      <c r="T87" s="10"/>
      <c r="U87" s="11" t="s">
        <v>71</v>
      </c>
      <c r="V87" s="11" t="s">
        <v>282</v>
      </c>
      <c r="W87" s="11" t="s">
        <v>283</v>
      </c>
      <c r="X87" s="10"/>
      <c r="Y87" s="10"/>
      <c r="Z87" s="10"/>
      <c r="AA87" s="10"/>
    </row>
    <row r="88" spans="1:27" hidden="1" x14ac:dyDescent="0.3">
      <c r="A88" s="8">
        <v>46035</v>
      </c>
      <c r="B88" s="8"/>
      <c r="C88" s="10"/>
      <c r="D88" s="11" t="s">
        <v>147</v>
      </c>
      <c r="E88" s="11" t="s">
        <v>284</v>
      </c>
      <c r="F88" s="10"/>
      <c r="G88" s="11" t="s">
        <v>877</v>
      </c>
      <c r="H88" s="11">
        <v>3</v>
      </c>
      <c r="I88" s="11" t="s">
        <v>100</v>
      </c>
      <c r="J88" s="25">
        <v>5500</v>
      </c>
      <c r="K88" s="12">
        <v>16500</v>
      </c>
      <c r="L88" s="10"/>
      <c r="M88" s="10"/>
      <c r="N88" s="12">
        <v>16500</v>
      </c>
      <c r="O88" s="12">
        <v>3655.8</v>
      </c>
      <c r="P88" s="12">
        <v>10967.4</v>
      </c>
      <c r="Q88" s="12">
        <v>5532.6</v>
      </c>
      <c r="R88" s="10"/>
      <c r="S88" s="10"/>
      <c r="T88" s="10"/>
      <c r="U88" s="11" t="s">
        <v>147</v>
      </c>
      <c r="V88" s="10"/>
      <c r="W88" s="10"/>
      <c r="X88" s="10"/>
      <c r="Y88" s="10"/>
      <c r="Z88" s="10"/>
      <c r="AA88" s="10"/>
    </row>
    <row r="89" spans="1:27" hidden="1" x14ac:dyDescent="0.3">
      <c r="A89" s="8">
        <v>46035</v>
      </c>
      <c r="B89" s="8"/>
      <c r="C89" s="10"/>
      <c r="D89" s="10"/>
      <c r="E89" s="11" t="s">
        <v>285</v>
      </c>
      <c r="F89" s="10"/>
      <c r="G89" s="11" t="s">
        <v>878</v>
      </c>
      <c r="H89" s="11">
        <v>2</v>
      </c>
      <c r="I89" s="11" t="s">
        <v>77</v>
      </c>
      <c r="J89" s="25">
        <v>340</v>
      </c>
      <c r="K89" s="12">
        <v>680</v>
      </c>
      <c r="L89" s="10"/>
      <c r="M89" s="10"/>
      <c r="N89" s="12">
        <v>680</v>
      </c>
      <c r="O89" s="12">
        <v>175.33</v>
      </c>
      <c r="P89" s="12">
        <v>350.66</v>
      </c>
      <c r="Q89" s="12">
        <v>329.34</v>
      </c>
      <c r="R89" s="11" t="s">
        <v>52</v>
      </c>
      <c r="S89" s="10"/>
      <c r="T89" s="10"/>
      <c r="U89" s="11" t="s">
        <v>71</v>
      </c>
      <c r="V89" s="11" t="s">
        <v>286</v>
      </c>
      <c r="W89" s="11" t="s">
        <v>287</v>
      </c>
      <c r="X89" s="10"/>
      <c r="Y89" s="10"/>
      <c r="Z89" s="10"/>
      <c r="AA89" s="10"/>
    </row>
    <row r="90" spans="1:27" hidden="1" x14ac:dyDescent="0.3">
      <c r="A90" s="8">
        <v>46035</v>
      </c>
      <c r="B90" s="8"/>
      <c r="C90" s="10"/>
      <c r="D90" s="10"/>
      <c r="E90" s="11" t="s">
        <v>288</v>
      </c>
      <c r="F90" s="10"/>
      <c r="G90" s="11" t="s">
        <v>877</v>
      </c>
      <c r="H90" s="11">
        <v>20</v>
      </c>
      <c r="I90" s="11" t="s">
        <v>100</v>
      </c>
      <c r="J90" s="25">
        <v>4600</v>
      </c>
      <c r="K90" s="12">
        <v>92000</v>
      </c>
      <c r="L90" s="10"/>
      <c r="M90" s="10"/>
      <c r="N90" s="12">
        <v>92000</v>
      </c>
      <c r="O90" s="12">
        <v>3655.8</v>
      </c>
      <c r="P90" s="12">
        <v>73116</v>
      </c>
      <c r="Q90" s="12">
        <v>18884</v>
      </c>
      <c r="R90" s="11" t="s">
        <v>52</v>
      </c>
      <c r="S90" s="10"/>
      <c r="T90" s="10"/>
      <c r="U90" s="11" t="s">
        <v>147</v>
      </c>
      <c r="V90" s="10"/>
      <c r="W90" s="10"/>
      <c r="X90" s="10"/>
      <c r="Y90" s="10"/>
      <c r="Z90" s="10"/>
      <c r="AA90" s="10"/>
    </row>
    <row r="91" spans="1:27" hidden="1" x14ac:dyDescent="0.3">
      <c r="A91" s="8">
        <v>46036</v>
      </c>
      <c r="B91" s="8"/>
      <c r="C91" s="11" t="s">
        <v>289</v>
      </c>
      <c r="D91" s="11" t="s">
        <v>290</v>
      </c>
      <c r="E91" s="11" t="s">
        <v>291</v>
      </c>
      <c r="F91" s="10"/>
      <c r="G91" s="11" t="s">
        <v>877</v>
      </c>
      <c r="H91" s="11">
        <v>10</v>
      </c>
      <c r="I91" s="11" t="s">
        <v>100</v>
      </c>
      <c r="J91" s="25">
        <v>5250</v>
      </c>
      <c r="K91" s="12">
        <v>52500</v>
      </c>
      <c r="L91" s="10"/>
      <c r="M91" s="10"/>
      <c r="N91" s="12">
        <v>52500</v>
      </c>
      <c r="O91" s="12">
        <v>3655.8</v>
      </c>
      <c r="P91" s="12">
        <v>36558</v>
      </c>
      <c r="Q91" s="12">
        <v>15942</v>
      </c>
      <c r="R91" s="10"/>
      <c r="S91" s="10"/>
      <c r="T91" s="10"/>
      <c r="U91" s="11" t="s">
        <v>138</v>
      </c>
      <c r="V91" s="10"/>
      <c r="W91" s="10"/>
      <c r="X91" s="10"/>
      <c r="Y91" s="10"/>
      <c r="Z91" s="10"/>
      <c r="AA91" s="10"/>
    </row>
    <row r="92" spans="1:27" hidden="1" x14ac:dyDescent="0.3">
      <c r="A92" s="8">
        <v>46036</v>
      </c>
      <c r="B92" s="8"/>
      <c r="C92" s="11" t="s">
        <v>289</v>
      </c>
      <c r="D92" s="11" t="s">
        <v>290</v>
      </c>
      <c r="E92" s="11" t="s">
        <v>291</v>
      </c>
      <c r="F92" s="10"/>
      <c r="G92" s="11" t="s">
        <v>219</v>
      </c>
      <c r="H92" s="11">
        <v>3</v>
      </c>
      <c r="I92" s="11" t="s">
        <v>220</v>
      </c>
      <c r="J92" s="25">
        <v>6250</v>
      </c>
      <c r="K92" s="12">
        <v>18750</v>
      </c>
      <c r="L92" s="15">
        <v>16741.07</v>
      </c>
      <c r="M92" s="15">
        <v>2008.93</v>
      </c>
      <c r="N92" s="10"/>
      <c r="O92" s="12">
        <v>4140</v>
      </c>
      <c r="P92" s="12">
        <v>12420</v>
      </c>
      <c r="Q92" s="12">
        <v>6330</v>
      </c>
      <c r="R92" s="10"/>
      <c r="S92" s="10"/>
      <c r="T92" s="10"/>
      <c r="U92" s="11" t="s">
        <v>138</v>
      </c>
      <c r="V92" s="10"/>
      <c r="W92" s="10"/>
      <c r="X92" s="10"/>
      <c r="Y92" s="10"/>
      <c r="Z92" s="10"/>
      <c r="AA92" s="10"/>
    </row>
    <row r="93" spans="1:27" hidden="1" x14ac:dyDescent="0.3">
      <c r="A93" s="8">
        <v>46036</v>
      </c>
      <c r="B93" s="8"/>
      <c r="C93" s="11" t="s">
        <v>289</v>
      </c>
      <c r="D93" s="11" t="s">
        <v>290</v>
      </c>
      <c r="E93" s="11" t="s">
        <v>291</v>
      </c>
      <c r="F93" s="10"/>
      <c r="G93" s="11" t="s">
        <v>255</v>
      </c>
      <c r="H93" s="11">
        <v>1</v>
      </c>
      <c r="I93" s="11" t="s">
        <v>220</v>
      </c>
      <c r="J93" s="25">
        <v>6250</v>
      </c>
      <c r="K93" s="12">
        <v>6250</v>
      </c>
      <c r="L93" s="15">
        <v>5580.36</v>
      </c>
      <c r="M93" s="11">
        <v>669.64</v>
      </c>
      <c r="N93" s="10"/>
      <c r="O93" s="12">
        <v>4140</v>
      </c>
      <c r="P93" s="12">
        <v>4140</v>
      </c>
      <c r="Q93" s="12">
        <v>2110</v>
      </c>
      <c r="R93" s="10"/>
      <c r="S93" s="10"/>
      <c r="T93" s="10"/>
      <c r="U93" s="11" t="s">
        <v>138</v>
      </c>
      <c r="V93" s="10"/>
      <c r="W93" s="10"/>
      <c r="X93" s="10"/>
      <c r="Y93" s="10"/>
      <c r="Z93" s="10"/>
      <c r="AA93" s="10"/>
    </row>
    <row r="94" spans="1:27" hidden="1" x14ac:dyDescent="0.3">
      <c r="A94" s="8">
        <v>46036</v>
      </c>
      <c r="B94" s="8"/>
      <c r="C94" s="10"/>
      <c r="D94" s="11" t="s">
        <v>71</v>
      </c>
      <c r="E94" s="11" t="s">
        <v>292</v>
      </c>
      <c r="F94" s="10"/>
      <c r="G94" s="11" t="s">
        <v>293</v>
      </c>
      <c r="H94" s="11">
        <v>1</v>
      </c>
      <c r="I94" s="11" t="s">
        <v>77</v>
      </c>
      <c r="J94" s="25">
        <v>1680</v>
      </c>
      <c r="K94" s="12">
        <v>1680</v>
      </c>
      <c r="L94" s="10"/>
      <c r="M94" s="10"/>
      <c r="N94" s="12">
        <v>1680</v>
      </c>
      <c r="O94" s="12">
        <v>855.04</v>
      </c>
      <c r="P94" s="12">
        <v>855.04</v>
      </c>
      <c r="Q94" s="12">
        <v>824.96</v>
      </c>
      <c r="R94" s="11" t="s">
        <v>52</v>
      </c>
      <c r="S94" s="10"/>
      <c r="T94" s="10"/>
      <c r="U94" s="11" t="s">
        <v>71</v>
      </c>
      <c r="V94" s="10"/>
      <c r="W94" s="10"/>
      <c r="X94" s="10"/>
      <c r="Y94" s="10"/>
      <c r="Z94" s="10"/>
      <c r="AA94" s="10"/>
    </row>
    <row r="95" spans="1:27" hidden="1" x14ac:dyDescent="0.3">
      <c r="A95" s="8">
        <v>46036</v>
      </c>
      <c r="B95" s="8"/>
      <c r="C95" s="10"/>
      <c r="D95" s="11" t="s">
        <v>71</v>
      </c>
      <c r="E95" s="11" t="s">
        <v>294</v>
      </c>
      <c r="F95" s="10"/>
      <c r="G95" s="11" t="s">
        <v>293</v>
      </c>
      <c r="H95" s="11">
        <v>1</v>
      </c>
      <c r="I95" s="11" t="s">
        <v>77</v>
      </c>
      <c r="J95" s="25">
        <v>1680</v>
      </c>
      <c r="K95" s="12">
        <v>1680</v>
      </c>
      <c r="L95" s="10"/>
      <c r="M95" s="10"/>
      <c r="N95" s="12">
        <v>1680</v>
      </c>
      <c r="O95" s="12">
        <v>855.04</v>
      </c>
      <c r="P95" s="12">
        <v>855.04</v>
      </c>
      <c r="Q95" s="12">
        <v>824.96</v>
      </c>
      <c r="R95" s="11" t="s">
        <v>52</v>
      </c>
      <c r="S95" s="10"/>
      <c r="T95" s="10"/>
      <c r="U95" s="11" t="s">
        <v>71</v>
      </c>
      <c r="V95" s="11" t="s">
        <v>295</v>
      </c>
      <c r="W95" s="11" t="s">
        <v>296</v>
      </c>
      <c r="X95" s="10"/>
      <c r="Y95" s="10"/>
      <c r="Z95" s="10"/>
      <c r="AA95" s="10"/>
    </row>
    <row r="96" spans="1:27" hidden="1" x14ac:dyDescent="0.3">
      <c r="A96" s="8">
        <v>46036</v>
      </c>
      <c r="B96" s="8"/>
      <c r="C96" s="10"/>
      <c r="D96" s="11" t="s">
        <v>71</v>
      </c>
      <c r="E96" s="11" t="s">
        <v>297</v>
      </c>
      <c r="F96" s="10"/>
      <c r="G96" s="11" t="s">
        <v>878</v>
      </c>
      <c r="H96" s="11">
        <v>4</v>
      </c>
      <c r="I96" s="11" t="s">
        <v>77</v>
      </c>
      <c r="J96" s="25">
        <v>340</v>
      </c>
      <c r="K96" s="12">
        <v>1360</v>
      </c>
      <c r="L96" s="10"/>
      <c r="M96" s="10"/>
      <c r="N96" s="12">
        <v>1360</v>
      </c>
      <c r="O96" s="12">
        <v>175.33</v>
      </c>
      <c r="P96" s="12">
        <v>701.32</v>
      </c>
      <c r="Q96" s="12">
        <v>658.68</v>
      </c>
      <c r="R96" s="11" t="s">
        <v>52</v>
      </c>
      <c r="S96" s="10"/>
      <c r="T96" s="10"/>
      <c r="U96" s="11" t="s">
        <v>71</v>
      </c>
      <c r="V96" s="11" t="s">
        <v>298</v>
      </c>
      <c r="W96" s="11" t="s">
        <v>299</v>
      </c>
      <c r="X96" s="10"/>
      <c r="Y96" s="10"/>
      <c r="Z96" s="10"/>
      <c r="AA96" s="10"/>
    </row>
    <row r="97" spans="1:27" hidden="1" x14ac:dyDescent="0.3">
      <c r="A97" s="8">
        <v>46036</v>
      </c>
      <c r="B97" s="8"/>
      <c r="C97" s="10"/>
      <c r="D97" s="11" t="s">
        <v>71</v>
      </c>
      <c r="E97" s="11" t="s">
        <v>300</v>
      </c>
      <c r="F97" s="10"/>
      <c r="G97" s="11" t="s">
        <v>878</v>
      </c>
      <c r="H97" s="11">
        <v>2</v>
      </c>
      <c r="I97" s="11" t="s">
        <v>77</v>
      </c>
      <c r="J97" s="25">
        <v>340</v>
      </c>
      <c r="K97" s="12">
        <v>680</v>
      </c>
      <c r="L97" s="10"/>
      <c r="M97" s="10"/>
      <c r="N97" s="12">
        <v>680</v>
      </c>
      <c r="O97" s="12">
        <v>175.33</v>
      </c>
      <c r="P97" s="12">
        <v>350.66</v>
      </c>
      <c r="Q97" s="12">
        <v>329.34</v>
      </c>
      <c r="R97" s="11" t="s">
        <v>52</v>
      </c>
      <c r="S97" s="10"/>
      <c r="T97" s="10"/>
      <c r="U97" s="11" t="s">
        <v>71</v>
      </c>
      <c r="V97" s="11" t="s">
        <v>301</v>
      </c>
      <c r="W97" s="11" t="s">
        <v>302</v>
      </c>
      <c r="X97" s="10"/>
      <c r="Y97" s="10"/>
      <c r="Z97" s="10"/>
      <c r="AA97" s="10"/>
    </row>
    <row r="98" spans="1:27" hidden="1" x14ac:dyDescent="0.3">
      <c r="A98" s="8">
        <v>46036</v>
      </c>
      <c r="B98" s="8"/>
      <c r="C98" s="10"/>
      <c r="D98" s="11" t="s">
        <v>89</v>
      </c>
      <c r="E98" s="11" t="s">
        <v>303</v>
      </c>
      <c r="F98" s="10"/>
      <c r="G98" s="11" t="s">
        <v>878</v>
      </c>
      <c r="H98" s="11">
        <v>64</v>
      </c>
      <c r="I98" s="11" t="s">
        <v>77</v>
      </c>
      <c r="J98" s="25">
        <v>220</v>
      </c>
      <c r="K98" s="12">
        <v>14080</v>
      </c>
      <c r="L98" s="10"/>
      <c r="M98" s="10"/>
      <c r="N98" s="12">
        <v>14080</v>
      </c>
      <c r="O98" s="12">
        <v>175.33</v>
      </c>
      <c r="P98" s="12">
        <v>11221.12</v>
      </c>
      <c r="Q98" s="12">
        <v>2858.88</v>
      </c>
      <c r="R98" s="11" t="s">
        <v>52</v>
      </c>
      <c r="S98" s="10"/>
      <c r="T98" s="10"/>
      <c r="U98" s="11" t="s">
        <v>89</v>
      </c>
      <c r="V98" s="10"/>
      <c r="W98" s="10"/>
      <c r="X98" s="10"/>
      <c r="Y98" s="10"/>
      <c r="Z98" s="10"/>
      <c r="AA98" s="10"/>
    </row>
    <row r="99" spans="1:27" hidden="1" x14ac:dyDescent="0.3">
      <c r="A99" s="8">
        <v>46037</v>
      </c>
      <c r="B99" s="8"/>
      <c r="C99" s="10"/>
      <c r="D99" s="11" t="s">
        <v>147</v>
      </c>
      <c r="E99" s="11" t="s">
        <v>146</v>
      </c>
      <c r="F99" s="10"/>
      <c r="G99" s="11" t="s">
        <v>877</v>
      </c>
      <c r="H99" s="11">
        <v>5</v>
      </c>
      <c r="I99" s="11" t="s">
        <v>100</v>
      </c>
      <c r="J99" s="25">
        <v>5000</v>
      </c>
      <c r="K99" s="12">
        <v>25000</v>
      </c>
      <c r="L99" s="10"/>
      <c r="M99" s="10"/>
      <c r="N99" s="12">
        <v>25000</v>
      </c>
      <c r="O99" s="12">
        <v>3655.8</v>
      </c>
      <c r="P99" s="12">
        <v>18279</v>
      </c>
      <c r="Q99" s="12">
        <v>6721</v>
      </c>
      <c r="R99" s="10"/>
      <c r="S99" s="10"/>
      <c r="T99" s="10"/>
      <c r="U99" s="11" t="s">
        <v>147</v>
      </c>
      <c r="V99" s="10"/>
      <c r="W99" s="10"/>
      <c r="X99" s="10"/>
      <c r="Y99" s="10"/>
      <c r="Z99" s="10"/>
      <c r="AA99" s="10"/>
    </row>
    <row r="100" spans="1:27" hidden="1" x14ac:dyDescent="0.3">
      <c r="A100" s="8">
        <v>46037</v>
      </c>
      <c r="B100" s="8"/>
      <c r="C100" s="10"/>
      <c r="D100" s="11" t="s">
        <v>71</v>
      </c>
      <c r="E100" s="11" t="s">
        <v>304</v>
      </c>
      <c r="F100" s="10"/>
      <c r="G100" s="11" t="s">
        <v>293</v>
      </c>
      <c r="H100" s="11">
        <v>1</v>
      </c>
      <c r="I100" s="11" t="s">
        <v>77</v>
      </c>
      <c r="J100" s="25">
        <v>1680</v>
      </c>
      <c r="K100" s="12">
        <v>1680</v>
      </c>
      <c r="L100" s="10"/>
      <c r="M100" s="10"/>
      <c r="N100" s="12">
        <v>1680</v>
      </c>
      <c r="O100" s="12">
        <v>855.04</v>
      </c>
      <c r="P100" s="12">
        <v>855.04</v>
      </c>
      <c r="Q100" s="12">
        <v>824.96</v>
      </c>
      <c r="R100" s="11" t="s">
        <v>52</v>
      </c>
      <c r="S100" s="10"/>
      <c r="T100" s="10"/>
      <c r="U100" s="11" t="s">
        <v>71</v>
      </c>
      <c r="V100" s="11" t="s">
        <v>305</v>
      </c>
      <c r="W100" s="11" t="s">
        <v>306</v>
      </c>
      <c r="X100" s="10"/>
      <c r="Y100" s="10"/>
      <c r="Z100" s="10"/>
      <c r="AA100" s="10"/>
    </row>
    <row r="101" spans="1:27" hidden="1" x14ac:dyDescent="0.3">
      <c r="A101" s="8">
        <v>46037</v>
      </c>
      <c r="B101" s="8"/>
      <c r="C101" s="10"/>
      <c r="D101" s="11" t="s">
        <v>307</v>
      </c>
      <c r="E101" s="11" t="s">
        <v>308</v>
      </c>
      <c r="F101" s="10"/>
      <c r="G101" s="11" t="s">
        <v>879</v>
      </c>
      <c r="H101" s="11">
        <v>10</v>
      </c>
      <c r="I101" s="11" t="s">
        <v>268</v>
      </c>
      <c r="J101" s="25">
        <v>250</v>
      </c>
      <c r="K101" s="12">
        <v>2500</v>
      </c>
      <c r="L101" s="10"/>
      <c r="M101" s="10"/>
      <c r="N101" s="12">
        <v>2500</v>
      </c>
      <c r="O101" s="12">
        <v>102.22</v>
      </c>
      <c r="P101" s="12">
        <v>1022.2</v>
      </c>
      <c r="Q101" s="12">
        <v>1477.8</v>
      </c>
      <c r="R101" s="11" t="s">
        <v>52</v>
      </c>
      <c r="S101" s="10"/>
      <c r="T101" s="10"/>
      <c r="U101" s="11" t="s">
        <v>71</v>
      </c>
      <c r="V101" s="11" t="s">
        <v>93</v>
      </c>
      <c r="W101" s="11" t="s">
        <v>94</v>
      </c>
      <c r="X101" s="10"/>
      <c r="Y101" s="10"/>
      <c r="Z101" s="10"/>
      <c r="AA101" s="10"/>
    </row>
    <row r="102" spans="1:27" hidden="1" x14ac:dyDescent="0.3">
      <c r="A102" s="8">
        <v>46037</v>
      </c>
      <c r="B102" s="8"/>
      <c r="C102" s="10"/>
      <c r="D102" s="11" t="s">
        <v>71</v>
      </c>
      <c r="E102" s="11" t="s">
        <v>310</v>
      </c>
      <c r="F102" s="10"/>
      <c r="G102" s="11" t="s">
        <v>877</v>
      </c>
      <c r="H102" s="11">
        <v>1</v>
      </c>
      <c r="I102" s="11" t="s">
        <v>100</v>
      </c>
      <c r="J102" s="25">
        <v>6100</v>
      </c>
      <c r="K102" s="12">
        <v>6100</v>
      </c>
      <c r="L102" s="10"/>
      <c r="M102" s="10"/>
      <c r="N102" s="12">
        <v>6100</v>
      </c>
      <c r="O102" s="12">
        <v>3655.8</v>
      </c>
      <c r="P102" s="12">
        <v>3655.8</v>
      </c>
      <c r="Q102" s="12">
        <v>2444.1999999999998</v>
      </c>
      <c r="R102" s="11" t="s">
        <v>52</v>
      </c>
      <c r="S102" s="10"/>
      <c r="T102" s="10"/>
      <c r="U102" s="11" t="s">
        <v>71</v>
      </c>
      <c r="V102" s="11" t="s">
        <v>311</v>
      </c>
      <c r="W102" s="11" t="s">
        <v>312</v>
      </c>
      <c r="X102" s="10"/>
      <c r="Y102" s="10"/>
      <c r="Z102" s="10"/>
      <c r="AA102" s="10"/>
    </row>
    <row r="103" spans="1:27" hidden="1" x14ac:dyDescent="0.3">
      <c r="A103" s="8">
        <v>46037</v>
      </c>
      <c r="B103" s="8"/>
      <c r="C103" s="10"/>
      <c r="D103" s="11" t="s">
        <v>71</v>
      </c>
      <c r="E103" s="11" t="s">
        <v>310</v>
      </c>
      <c r="F103" s="10"/>
      <c r="G103" s="11" t="s">
        <v>259</v>
      </c>
      <c r="H103" s="11">
        <v>1</v>
      </c>
      <c r="I103" s="11" t="s">
        <v>268</v>
      </c>
      <c r="J103" s="25">
        <v>300</v>
      </c>
      <c r="K103" s="12">
        <v>300</v>
      </c>
      <c r="L103" s="11">
        <v>267.86</v>
      </c>
      <c r="M103" s="11">
        <v>32.14</v>
      </c>
      <c r="N103" s="10"/>
      <c r="O103" s="12">
        <v>84.68</v>
      </c>
      <c r="P103" s="12">
        <v>84.68</v>
      </c>
      <c r="Q103" s="12">
        <v>215.32</v>
      </c>
      <c r="R103" s="11" t="s">
        <v>52</v>
      </c>
      <c r="S103" s="10"/>
      <c r="T103" s="10"/>
      <c r="U103" s="11" t="s">
        <v>71</v>
      </c>
      <c r="V103" s="11" t="s">
        <v>311</v>
      </c>
      <c r="W103" s="11" t="s">
        <v>312</v>
      </c>
      <c r="X103" s="10"/>
      <c r="Y103" s="10"/>
      <c r="Z103" s="10"/>
      <c r="AA103" s="10"/>
    </row>
    <row r="104" spans="1:27" hidden="1" x14ac:dyDescent="0.3">
      <c r="A104" s="8">
        <v>46037</v>
      </c>
      <c r="B104" s="8"/>
      <c r="C104" s="10"/>
      <c r="D104" s="11" t="s">
        <v>143</v>
      </c>
      <c r="E104" s="11" t="s">
        <v>313</v>
      </c>
      <c r="F104" s="10"/>
      <c r="G104" s="11" t="s">
        <v>878</v>
      </c>
      <c r="H104" s="11">
        <v>32</v>
      </c>
      <c r="I104" s="11" t="s">
        <v>77</v>
      </c>
      <c r="J104" s="25">
        <v>220</v>
      </c>
      <c r="K104" s="12">
        <v>7040</v>
      </c>
      <c r="L104" s="10"/>
      <c r="M104" s="10"/>
      <c r="N104" s="12">
        <v>7040</v>
      </c>
      <c r="O104" s="12">
        <v>175.33</v>
      </c>
      <c r="P104" s="12">
        <v>5610.56</v>
      </c>
      <c r="Q104" s="12">
        <v>1429.44</v>
      </c>
      <c r="R104" s="10"/>
      <c r="S104" s="10"/>
      <c r="T104" s="10"/>
      <c r="U104" s="11" t="s">
        <v>143</v>
      </c>
      <c r="V104" s="11" t="s">
        <v>314</v>
      </c>
      <c r="W104" s="11" t="s">
        <v>315</v>
      </c>
      <c r="X104" s="10"/>
      <c r="Y104" s="10"/>
      <c r="Z104" s="10"/>
      <c r="AA104" s="10"/>
    </row>
    <row r="105" spans="1:27" x14ac:dyDescent="0.3">
      <c r="A105" s="8">
        <v>46037</v>
      </c>
      <c r="B105" s="8"/>
      <c r="C105" s="10"/>
      <c r="D105" s="11" t="s">
        <v>143</v>
      </c>
      <c r="E105" s="11" t="s">
        <v>313</v>
      </c>
      <c r="F105" s="10"/>
      <c r="G105" s="11" t="s">
        <v>182</v>
      </c>
      <c r="H105" s="11">
        <v>1</v>
      </c>
      <c r="I105" s="11" t="s">
        <v>183</v>
      </c>
      <c r="J105" s="25">
        <v>750</v>
      </c>
      <c r="K105" s="12">
        <v>750</v>
      </c>
      <c r="L105" s="10"/>
      <c r="M105" s="10"/>
      <c r="N105" s="12">
        <v>750</v>
      </c>
      <c r="O105" s="11" t="s">
        <v>80</v>
      </c>
      <c r="P105" s="11" t="s">
        <v>80</v>
      </c>
      <c r="Q105" s="12">
        <v>750</v>
      </c>
      <c r="R105" s="10"/>
      <c r="S105" s="10"/>
      <c r="T105" s="10"/>
      <c r="U105" s="11" t="s">
        <v>143</v>
      </c>
      <c r="V105" s="11" t="s">
        <v>314</v>
      </c>
      <c r="W105" s="11" t="s">
        <v>315</v>
      </c>
      <c r="X105" s="10"/>
      <c r="Y105" s="10"/>
      <c r="Z105" s="10"/>
      <c r="AA105" s="10"/>
    </row>
    <row r="106" spans="1:27" hidden="1" x14ac:dyDescent="0.3">
      <c r="A106" s="8">
        <v>46037</v>
      </c>
      <c r="B106" s="8"/>
      <c r="C106" s="10"/>
      <c r="D106" s="11" t="s">
        <v>316</v>
      </c>
      <c r="E106" s="11" t="s">
        <v>50</v>
      </c>
      <c r="F106" s="10"/>
      <c r="G106" s="11" t="s">
        <v>878</v>
      </c>
      <c r="H106" s="11">
        <v>32</v>
      </c>
      <c r="I106" s="11" t="s">
        <v>77</v>
      </c>
      <c r="J106" s="25">
        <v>234.38</v>
      </c>
      <c r="K106" s="12">
        <v>7500</v>
      </c>
      <c r="L106" s="11" t="s">
        <v>189</v>
      </c>
      <c r="M106" s="11" t="s">
        <v>189</v>
      </c>
      <c r="N106" s="12">
        <v>7500</v>
      </c>
      <c r="O106" s="12">
        <v>175.33</v>
      </c>
      <c r="P106" s="12">
        <v>5610.56</v>
      </c>
      <c r="Q106" s="12">
        <v>1889.44</v>
      </c>
      <c r="R106" s="11" t="s">
        <v>52</v>
      </c>
      <c r="S106" s="10"/>
      <c r="T106" s="10"/>
      <c r="U106" s="11" t="s">
        <v>147</v>
      </c>
      <c r="V106" s="10"/>
      <c r="W106" s="10"/>
      <c r="X106" s="10"/>
      <c r="Y106" s="10"/>
      <c r="Z106" s="10"/>
      <c r="AA106" s="10"/>
    </row>
    <row r="107" spans="1:27" hidden="1" x14ac:dyDescent="0.3">
      <c r="A107" s="8">
        <v>46038</v>
      </c>
      <c r="B107" s="8"/>
      <c r="C107" s="10"/>
      <c r="D107" s="11" t="s">
        <v>71</v>
      </c>
      <c r="E107" s="11" t="s">
        <v>317</v>
      </c>
      <c r="F107" s="10"/>
      <c r="G107" s="11" t="s">
        <v>259</v>
      </c>
      <c r="H107" s="11">
        <v>1</v>
      </c>
      <c r="I107" s="11" t="s">
        <v>268</v>
      </c>
      <c r="J107" s="25">
        <v>300</v>
      </c>
      <c r="K107" s="12">
        <v>300</v>
      </c>
      <c r="L107" s="11">
        <v>267.86</v>
      </c>
      <c r="M107" s="11">
        <v>32.14</v>
      </c>
      <c r="N107" s="10"/>
      <c r="O107" s="12">
        <v>84.68</v>
      </c>
      <c r="P107" s="12">
        <v>84.68</v>
      </c>
      <c r="Q107" s="12">
        <v>215.32</v>
      </c>
      <c r="R107" s="11" t="s">
        <v>52</v>
      </c>
      <c r="S107" s="10"/>
      <c r="T107" s="10"/>
      <c r="U107" s="11" t="s">
        <v>71</v>
      </c>
      <c r="V107" s="11" t="s">
        <v>318</v>
      </c>
      <c r="W107" s="11" t="s">
        <v>319</v>
      </c>
      <c r="X107" s="10"/>
      <c r="Y107" s="10"/>
      <c r="Z107" s="10"/>
      <c r="AA107" s="10"/>
    </row>
    <row r="108" spans="1:27" hidden="1" x14ac:dyDescent="0.3">
      <c r="A108" s="8">
        <v>46038</v>
      </c>
      <c r="B108" s="8"/>
      <c r="C108" s="10"/>
      <c r="D108" s="11" t="s">
        <v>147</v>
      </c>
      <c r="E108" s="11" t="s">
        <v>117</v>
      </c>
      <c r="F108" s="10"/>
      <c r="G108" s="11" t="s">
        <v>877</v>
      </c>
      <c r="H108" s="11">
        <v>1</v>
      </c>
      <c r="I108" s="11" t="s">
        <v>100</v>
      </c>
      <c r="J108" s="25">
        <v>5500</v>
      </c>
      <c r="K108" s="12">
        <v>5500</v>
      </c>
      <c r="L108" s="10"/>
      <c r="M108" s="10"/>
      <c r="N108" s="12">
        <v>5500</v>
      </c>
      <c r="O108" s="12">
        <v>3655.8</v>
      </c>
      <c r="P108" s="12">
        <v>3655.8</v>
      </c>
      <c r="Q108" s="12">
        <v>1844.2</v>
      </c>
      <c r="R108" s="10"/>
      <c r="S108" s="10"/>
      <c r="T108" s="10"/>
      <c r="U108" s="11" t="s">
        <v>147</v>
      </c>
      <c r="V108" s="10"/>
      <c r="W108" s="10"/>
      <c r="X108" s="10"/>
      <c r="Y108" s="10"/>
      <c r="Z108" s="10"/>
      <c r="AA108" s="10"/>
    </row>
    <row r="109" spans="1:27" hidden="1" x14ac:dyDescent="0.3">
      <c r="A109" s="8">
        <v>46038</v>
      </c>
      <c r="B109" s="8"/>
      <c r="C109" s="10"/>
      <c r="D109" s="10"/>
      <c r="E109" s="11" t="s">
        <v>320</v>
      </c>
      <c r="F109" s="10"/>
      <c r="G109" s="11" t="s">
        <v>878</v>
      </c>
      <c r="H109" s="11">
        <v>2</v>
      </c>
      <c r="I109" s="11" t="s">
        <v>77</v>
      </c>
      <c r="J109" s="25">
        <v>340</v>
      </c>
      <c r="K109" s="12">
        <v>680</v>
      </c>
      <c r="L109" s="10"/>
      <c r="M109" s="10"/>
      <c r="N109" s="12">
        <v>680</v>
      </c>
      <c r="O109" s="12">
        <v>175.33</v>
      </c>
      <c r="P109" s="12">
        <v>350.66</v>
      </c>
      <c r="Q109" s="12">
        <v>329.34</v>
      </c>
      <c r="R109" s="11" t="s">
        <v>52</v>
      </c>
      <c r="S109" s="10"/>
      <c r="T109" s="11">
        <v>9683846764</v>
      </c>
      <c r="U109" s="10"/>
      <c r="V109" s="11" t="s">
        <v>321</v>
      </c>
      <c r="W109" s="11" t="s">
        <v>322</v>
      </c>
      <c r="X109" s="10"/>
      <c r="Y109" s="10"/>
      <c r="Z109" s="10"/>
      <c r="AA109" s="10"/>
    </row>
    <row r="110" spans="1:27" hidden="1" x14ac:dyDescent="0.3">
      <c r="A110" s="8">
        <v>46039</v>
      </c>
      <c r="B110" s="8"/>
      <c r="C110" s="10"/>
      <c r="D110" s="11" t="s">
        <v>71</v>
      </c>
      <c r="E110" s="11" t="s">
        <v>323</v>
      </c>
      <c r="F110" s="10"/>
      <c r="G110" s="11" t="s">
        <v>878</v>
      </c>
      <c r="H110" s="11">
        <v>8</v>
      </c>
      <c r="I110" s="11" t="s">
        <v>77</v>
      </c>
      <c r="J110" s="25">
        <v>340</v>
      </c>
      <c r="K110" s="12">
        <v>2720</v>
      </c>
      <c r="L110" s="10"/>
      <c r="M110" s="10"/>
      <c r="N110" s="12">
        <v>680</v>
      </c>
      <c r="O110" s="12">
        <v>175.33</v>
      </c>
      <c r="P110" s="12">
        <v>1402.64</v>
      </c>
      <c r="Q110" s="12">
        <v>1317.36</v>
      </c>
      <c r="R110" s="11" t="s">
        <v>52</v>
      </c>
      <c r="S110" s="10"/>
      <c r="T110" s="10"/>
      <c r="U110" s="11" t="s">
        <v>71</v>
      </c>
      <c r="V110" s="11" t="s">
        <v>324</v>
      </c>
      <c r="W110" s="11" t="s">
        <v>325</v>
      </c>
      <c r="X110" s="10"/>
      <c r="Y110" s="10"/>
      <c r="Z110" s="10"/>
      <c r="AA110" s="10"/>
    </row>
    <row r="111" spans="1:27" hidden="1" x14ac:dyDescent="0.3">
      <c r="A111" s="8">
        <v>46039</v>
      </c>
      <c r="B111" s="8"/>
      <c r="C111" s="10"/>
      <c r="D111" s="11" t="s">
        <v>71</v>
      </c>
      <c r="E111" s="11" t="s">
        <v>326</v>
      </c>
      <c r="F111" s="10"/>
      <c r="G111" s="11" t="s">
        <v>259</v>
      </c>
      <c r="H111" s="11">
        <v>2</v>
      </c>
      <c r="I111" s="11" t="s">
        <v>268</v>
      </c>
      <c r="J111" s="25">
        <v>300</v>
      </c>
      <c r="K111" s="12">
        <v>600</v>
      </c>
      <c r="L111" s="11">
        <v>267.86</v>
      </c>
      <c r="M111" s="11">
        <v>32.14</v>
      </c>
      <c r="N111" s="10"/>
      <c r="O111" s="12">
        <v>84.68</v>
      </c>
      <c r="P111" s="12">
        <v>169.36</v>
      </c>
      <c r="Q111" s="12">
        <v>430.64</v>
      </c>
      <c r="R111" s="11" t="s">
        <v>52</v>
      </c>
      <c r="S111" s="10"/>
      <c r="T111" s="10"/>
      <c r="U111" s="11" t="s">
        <v>71</v>
      </c>
      <c r="V111" s="11" t="s">
        <v>327</v>
      </c>
      <c r="W111" s="11" t="s">
        <v>328</v>
      </c>
      <c r="X111" s="10"/>
      <c r="Y111" s="10"/>
      <c r="Z111" s="10"/>
      <c r="AA111" s="10"/>
    </row>
    <row r="112" spans="1:27" hidden="1" x14ac:dyDescent="0.3">
      <c r="A112" s="8">
        <v>46039</v>
      </c>
      <c r="B112" s="8"/>
      <c r="C112" s="10"/>
      <c r="D112" s="11" t="s">
        <v>71</v>
      </c>
      <c r="E112" s="11" t="s">
        <v>326</v>
      </c>
      <c r="F112" s="10"/>
      <c r="G112" s="11" t="s">
        <v>329</v>
      </c>
      <c r="H112" s="11">
        <v>2</v>
      </c>
      <c r="I112" s="11" t="s">
        <v>268</v>
      </c>
      <c r="J112" s="25">
        <v>300</v>
      </c>
      <c r="K112" s="12">
        <v>600</v>
      </c>
      <c r="L112" s="11">
        <v>267.86</v>
      </c>
      <c r="M112" s="11">
        <v>32.14</v>
      </c>
      <c r="N112" s="10"/>
      <c r="O112" s="12">
        <v>39.200000000000003</v>
      </c>
      <c r="P112" s="12">
        <v>78.400000000000006</v>
      </c>
      <c r="Q112" s="12">
        <v>521.6</v>
      </c>
      <c r="R112" s="11" t="s">
        <v>52</v>
      </c>
      <c r="S112" s="10"/>
      <c r="T112" s="10"/>
      <c r="U112" s="11" t="s">
        <v>71</v>
      </c>
      <c r="V112" s="11" t="s">
        <v>327</v>
      </c>
      <c r="W112" s="11" t="s">
        <v>328</v>
      </c>
      <c r="X112" s="10"/>
      <c r="Y112" s="10"/>
      <c r="Z112" s="10"/>
      <c r="AA112" s="10"/>
    </row>
    <row r="113" spans="1:27" hidden="1" x14ac:dyDescent="0.3">
      <c r="A113" s="8">
        <v>46039</v>
      </c>
      <c r="B113" s="8"/>
      <c r="C113" s="10"/>
      <c r="D113" s="11" t="s">
        <v>71</v>
      </c>
      <c r="E113" s="11" t="s">
        <v>330</v>
      </c>
      <c r="F113" s="10"/>
      <c r="G113" s="11" t="s">
        <v>878</v>
      </c>
      <c r="H113" s="11">
        <v>10</v>
      </c>
      <c r="I113" s="11" t="s">
        <v>77</v>
      </c>
      <c r="J113" s="25">
        <v>340</v>
      </c>
      <c r="K113" s="12">
        <v>3400</v>
      </c>
      <c r="L113" s="10"/>
      <c r="M113" s="10"/>
      <c r="N113" s="12">
        <v>3400</v>
      </c>
      <c r="O113" s="12">
        <v>175.33</v>
      </c>
      <c r="P113" s="12">
        <v>1753.3</v>
      </c>
      <c r="Q113" s="12">
        <v>1646.7</v>
      </c>
      <c r="R113" s="11" t="s">
        <v>52</v>
      </c>
      <c r="S113" s="10"/>
      <c r="T113" s="10"/>
      <c r="U113" s="11" t="s">
        <v>71</v>
      </c>
      <c r="V113" s="11" t="s">
        <v>331</v>
      </c>
      <c r="W113" s="11" t="s">
        <v>332</v>
      </c>
      <c r="X113" s="10"/>
      <c r="Y113" s="10"/>
      <c r="Z113" s="10"/>
      <c r="AA113" s="10"/>
    </row>
    <row r="114" spans="1:27" hidden="1" x14ac:dyDescent="0.3">
      <c r="A114" s="8">
        <v>46041</v>
      </c>
      <c r="B114" s="8"/>
      <c r="C114" s="10"/>
      <c r="D114" s="11" t="s">
        <v>71</v>
      </c>
      <c r="E114" s="11" t="s">
        <v>333</v>
      </c>
      <c r="F114" s="10"/>
      <c r="G114" s="11" t="s">
        <v>877</v>
      </c>
      <c r="H114" s="11">
        <v>1</v>
      </c>
      <c r="I114" s="11" t="s">
        <v>100</v>
      </c>
      <c r="J114" s="25">
        <v>6100</v>
      </c>
      <c r="K114" s="12">
        <v>6100</v>
      </c>
      <c r="L114" s="10"/>
      <c r="M114" s="10"/>
      <c r="N114" s="12">
        <v>6100</v>
      </c>
      <c r="O114" s="12">
        <v>3655.8</v>
      </c>
      <c r="P114" s="12">
        <v>3655.8</v>
      </c>
      <c r="Q114" s="12">
        <v>2444.1999999999998</v>
      </c>
      <c r="R114" s="11" t="s">
        <v>52</v>
      </c>
      <c r="S114" s="10"/>
      <c r="T114" s="10"/>
      <c r="U114" s="11" t="s">
        <v>71</v>
      </c>
      <c r="V114" s="11" t="s">
        <v>334</v>
      </c>
      <c r="W114" s="11" t="s">
        <v>335</v>
      </c>
      <c r="X114" s="10"/>
      <c r="Y114" s="10"/>
      <c r="Z114" s="10"/>
      <c r="AA114" s="10"/>
    </row>
    <row r="115" spans="1:27" hidden="1" x14ac:dyDescent="0.3">
      <c r="A115" s="8">
        <v>46041</v>
      </c>
      <c r="B115" s="8"/>
      <c r="C115" s="10"/>
      <c r="D115" s="11" t="s">
        <v>71</v>
      </c>
      <c r="E115" s="11" t="s">
        <v>125</v>
      </c>
      <c r="F115" s="10"/>
      <c r="G115" s="11" t="s">
        <v>878</v>
      </c>
      <c r="H115" s="11">
        <v>1</v>
      </c>
      <c r="I115" s="11" t="s">
        <v>77</v>
      </c>
      <c r="J115" s="25">
        <v>340</v>
      </c>
      <c r="K115" s="12">
        <v>340</v>
      </c>
      <c r="L115" s="10"/>
      <c r="M115" s="10"/>
      <c r="N115" s="12">
        <v>340</v>
      </c>
      <c r="O115" s="12">
        <v>175.33</v>
      </c>
      <c r="P115" s="12">
        <v>175.33</v>
      </c>
      <c r="Q115" s="12">
        <v>164.67</v>
      </c>
      <c r="R115" s="11" t="s">
        <v>52</v>
      </c>
      <c r="S115" s="10"/>
      <c r="T115" s="10"/>
      <c r="U115" s="11" t="s">
        <v>71</v>
      </c>
      <c r="V115" s="11" t="s">
        <v>126</v>
      </c>
      <c r="W115" s="11" t="s">
        <v>127</v>
      </c>
      <c r="X115" s="10"/>
      <c r="Y115" s="10"/>
      <c r="Z115" s="10"/>
      <c r="AA115" s="10"/>
    </row>
    <row r="116" spans="1:27" hidden="1" x14ac:dyDescent="0.3">
      <c r="A116" s="8">
        <v>46041</v>
      </c>
      <c r="B116" s="8"/>
      <c r="C116" s="10"/>
      <c r="D116" s="11" t="s">
        <v>71</v>
      </c>
      <c r="E116" s="11" t="s">
        <v>125</v>
      </c>
      <c r="F116" s="10"/>
      <c r="G116" s="11" t="s">
        <v>878</v>
      </c>
      <c r="H116" s="11">
        <v>1</v>
      </c>
      <c r="I116" s="11" t="s">
        <v>77</v>
      </c>
      <c r="J116" s="25">
        <v>340</v>
      </c>
      <c r="K116" s="12">
        <v>340</v>
      </c>
      <c r="L116" s="10"/>
      <c r="M116" s="10"/>
      <c r="N116" s="12">
        <v>340</v>
      </c>
      <c r="O116" s="12">
        <v>175.33</v>
      </c>
      <c r="P116" s="12">
        <v>175.33</v>
      </c>
      <c r="Q116" s="12">
        <v>164.67</v>
      </c>
      <c r="R116" s="11" t="s">
        <v>52</v>
      </c>
      <c r="S116" s="10"/>
      <c r="T116" s="10"/>
      <c r="U116" s="11" t="s">
        <v>71</v>
      </c>
      <c r="V116" s="11" t="s">
        <v>126</v>
      </c>
      <c r="W116" s="11" t="s">
        <v>127</v>
      </c>
      <c r="X116" s="10"/>
      <c r="Y116" s="10"/>
      <c r="Z116" s="10"/>
      <c r="AA116" s="10"/>
    </row>
    <row r="117" spans="1:27" hidden="1" x14ac:dyDescent="0.3">
      <c r="A117" s="8">
        <v>46041</v>
      </c>
      <c r="B117" s="8"/>
      <c r="C117" s="10"/>
      <c r="D117" s="11" t="s">
        <v>71</v>
      </c>
      <c r="E117" s="11" t="s">
        <v>161</v>
      </c>
      <c r="F117" s="10"/>
      <c r="G117" s="11" t="s">
        <v>878</v>
      </c>
      <c r="H117" s="11">
        <v>1</v>
      </c>
      <c r="I117" s="11" t="s">
        <v>77</v>
      </c>
      <c r="J117" s="25">
        <v>340</v>
      </c>
      <c r="K117" s="12">
        <v>340</v>
      </c>
      <c r="L117" s="10"/>
      <c r="M117" s="10"/>
      <c r="N117" s="12">
        <v>340</v>
      </c>
      <c r="O117" s="12">
        <v>175.33</v>
      </c>
      <c r="P117" s="12">
        <v>175.33</v>
      </c>
      <c r="Q117" s="12">
        <v>164.67</v>
      </c>
      <c r="R117" s="11" t="s">
        <v>52</v>
      </c>
      <c r="S117" s="10"/>
      <c r="T117" s="10"/>
      <c r="U117" s="11" t="s">
        <v>71</v>
      </c>
      <c r="V117" s="11" t="s">
        <v>162</v>
      </c>
      <c r="W117" s="11" t="s">
        <v>163</v>
      </c>
      <c r="X117" s="10"/>
      <c r="Y117" s="10"/>
      <c r="Z117" s="10"/>
      <c r="AA117" s="10"/>
    </row>
    <row r="118" spans="1:27" hidden="1" x14ac:dyDescent="0.3">
      <c r="A118" s="8">
        <v>46042</v>
      </c>
      <c r="B118" s="8"/>
      <c r="C118" s="10"/>
      <c r="D118" s="11" t="s">
        <v>71</v>
      </c>
      <c r="E118" s="11" t="s">
        <v>336</v>
      </c>
      <c r="F118" s="10"/>
      <c r="G118" s="11" t="s">
        <v>877</v>
      </c>
      <c r="H118" s="11">
        <v>1</v>
      </c>
      <c r="I118" s="11" t="s">
        <v>100</v>
      </c>
      <c r="J118" s="25">
        <v>6100</v>
      </c>
      <c r="K118" s="12">
        <v>6100</v>
      </c>
      <c r="L118" s="10"/>
      <c r="M118" s="10"/>
      <c r="N118" s="12">
        <v>6100</v>
      </c>
      <c r="O118" s="12">
        <v>3655.8</v>
      </c>
      <c r="P118" s="12">
        <v>3655.8</v>
      </c>
      <c r="Q118" s="12">
        <v>2444.1999999999998</v>
      </c>
      <c r="R118" s="11" t="s">
        <v>52</v>
      </c>
      <c r="S118" s="10"/>
      <c r="T118" s="10"/>
      <c r="U118" s="11" t="s">
        <v>71</v>
      </c>
      <c r="V118" s="11" t="s">
        <v>337</v>
      </c>
      <c r="W118" s="11" t="s">
        <v>338</v>
      </c>
      <c r="X118" s="10"/>
      <c r="Y118" s="10"/>
      <c r="Z118" s="10"/>
      <c r="AA118" s="10"/>
    </row>
    <row r="119" spans="1:27" hidden="1" x14ac:dyDescent="0.3">
      <c r="A119" s="8">
        <v>46042</v>
      </c>
      <c r="B119" s="8"/>
      <c r="C119" s="10"/>
      <c r="D119" s="11" t="s">
        <v>71</v>
      </c>
      <c r="E119" s="11" t="s">
        <v>164</v>
      </c>
      <c r="F119" s="10"/>
      <c r="G119" s="11" t="s">
        <v>878</v>
      </c>
      <c r="H119" s="11">
        <v>4</v>
      </c>
      <c r="I119" s="11" t="s">
        <v>77</v>
      </c>
      <c r="J119" s="25">
        <v>340</v>
      </c>
      <c r="K119" s="12">
        <v>1360</v>
      </c>
      <c r="L119" s="10"/>
      <c r="M119" s="10"/>
      <c r="N119" s="12">
        <v>1360</v>
      </c>
      <c r="O119" s="12">
        <v>175.33</v>
      </c>
      <c r="P119" s="12">
        <v>701.32</v>
      </c>
      <c r="Q119" s="12">
        <v>658.68</v>
      </c>
      <c r="R119" s="11" t="s">
        <v>52</v>
      </c>
      <c r="S119" s="10"/>
      <c r="T119" s="10"/>
      <c r="U119" s="11" t="s">
        <v>71</v>
      </c>
      <c r="V119" s="11" t="s">
        <v>165</v>
      </c>
      <c r="W119" s="11" t="s">
        <v>166</v>
      </c>
      <c r="X119" s="10"/>
      <c r="Y119" s="10"/>
      <c r="Z119" s="10"/>
      <c r="AA119" s="10"/>
    </row>
    <row r="120" spans="1:27" hidden="1" x14ac:dyDescent="0.3">
      <c r="A120" s="8">
        <v>46042</v>
      </c>
      <c r="B120" s="8"/>
      <c r="C120" s="10"/>
      <c r="D120" s="11" t="s">
        <v>71</v>
      </c>
      <c r="E120" s="11" t="s">
        <v>339</v>
      </c>
      <c r="F120" s="10"/>
      <c r="G120" s="11" t="s">
        <v>259</v>
      </c>
      <c r="H120" s="11">
        <v>1</v>
      </c>
      <c r="I120" s="11" t="s">
        <v>268</v>
      </c>
      <c r="J120" s="25">
        <v>300</v>
      </c>
      <c r="K120" s="12">
        <v>300</v>
      </c>
      <c r="L120" s="11">
        <v>267.86</v>
      </c>
      <c r="M120" s="11">
        <v>32.14</v>
      </c>
      <c r="N120" s="10"/>
      <c r="O120" s="12">
        <v>84.68</v>
      </c>
      <c r="P120" s="12">
        <v>84.68</v>
      </c>
      <c r="Q120" s="12">
        <v>215.32</v>
      </c>
      <c r="R120" s="11" t="s">
        <v>52</v>
      </c>
      <c r="S120" s="10"/>
      <c r="T120" s="10"/>
      <c r="U120" s="11" t="s">
        <v>71</v>
      </c>
      <c r="V120" s="11" t="s">
        <v>340</v>
      </c>
      <c r="W120" s="11" t="s">
        <v>341</v>
      </c>
      <c r="X120" s="10"/>
      <c r="Y120" s="10"/>
      <c r="Z120" s="10"/>
      <c r="AA120" s="10"/>
    </row>
    <row r="121" spans="1:27" hidden="1" x14ac:dyDescent="0.3">
      <c r="A121" s="8">
        <v>46042</v>
      </c>
      <c r="B121" s="8"/>
      <c r="C121" s="10"/>
      <c r="D121" s="11" t="s">
        <v>71</v>
      </c>
      <c r="E121" s="11" t="s">
        <v>339</v>
      </c>
      <c r="F121" s="10"/>
      <c r="G121" s="11" t="s">
        <v>878</v>
      </c>
      <c r="H121" s="11">
        <v>2</v>
      </c>
      <c r="I121" s="11" t="s">
        <v>77</v>
      </c>
      <c r="J121" s="25">
        <v>340</v>
      </c>
      <c r="K121" s="12">
        <v>680</v>
      </c>
      <c r="L121" s="10"/>
      <c r="M121" s="10"/>
      <c r="N121" s="12">
        <v>680</v>
      </c>
      <c r="O121" s="12">
        <v>175.33</v>
      </c>
      <c r="P121" s="12">
        <v>350.66</v>
      </c>
      <c r="Q121" s="12">
        <v>329.34</v>
      </c>
      <c r="R121" s="11" t="s">
        <v>52</v>
      </c>
      <c r="S121" s="10"/>
      <c r="T121" s="10"/>
      <c r="U121" s="11" t="s">
        <v>71</v>
      </c>
      <c r="V121" s="11" t="s">
        <v>340</v>
      </c>
      <c r="W121" s="11" t="s">
        <v>341</v>
      </c>
      <c r="X121" s="10"/>
      <c r="Y121" s="10"/>
      <c r="Z121" s="10"/>
      <c r="AA121" s="10"/>
    </row>
    <row r="122" spans="1:27" hidden="1" x14ac:dyDescent="0.3">
      <c r="A122" s="8">
        <v>46042</v>
      </c>
      <c r="B122" s="8"/>
      <c r="C122" s="10"/>
      <c r="D122" s="11" t="s">
        <v>71</v>
      </c>
      <c r="E122" s="11" t="s">
        <v>342</v>
      </c>
      <c r="F122" s="10"/>
      <c r="G122" s="11" t="s">
        <v>878</v>
      </c>
      <c r="H122" s="11">
        <v>3</v>
      </c>
      <c r="I122" s="11" t="s">
        <v>77</v>
      </c>
      <c r="J122" s="25">
        <v>340</v>
      </c>
      <c r="K122" s="12">
        <v>1020</v>
      </c>
      <c r="L122" s="10"/>
      <c r="M122" s="10"/>
      <c r="N122" s="12">
        <v>1020</v>
      </c>
      <c r="O122" s="12">
        <v>175.33</v>
      </c>
      <c r="P122" s="12">
        <v>525.99</v>
      </c>
      <c r="Q122" s="12">
        <v>494.01</v>
      </c>
      <c r="R122" s="11" t="s">
        <v>52</v>
      </c>
      <c r="S122" s="10"/>
      <c r="T122" s="10"/>
      <c r="U122" s="11" t="s">
        <v>71</v>
      </c>
      <c r="V122" s="11" t="s">
        <v>343</v>
      </c>
      <c r="W122" s="11" t="s">
        <v>344</v>
      </c>
      <c r="X122" s="11" t="s">
        <v>343</v>
      </c>
      <c r="Y122" s="10"/>
      <c r="Z122" s="10"/>
      <c r="AA122" s="10"/>
    </row>
    <row r="123" spans="1:27" hidden="1" x14ac:dyDescent="0.3">
      <c r="A123" s="8">
        <v>46042</v>
      </c>
      <c r="B123" s="8"/>
      <c r="C123" s="10"/>
      <c r="D123" s="11" t="s">
        <v>71</v>
      </c>
      <c r="E123" s="11" t="s">
        <v>345</v>
      </c>
      <c r="F123" s="10"/>
      <c r="G123" s="11" t="s">
        <v>877</v>
      </c>
      <c r="H123" s="11">
        <v>1</v>
      </c>
      <c r="I123" s="11" t="s">
        <v>100</v>
      </c>
      <c r="J123" s="25">
        <v>6100</v>
      </c>
      <c r="K123" s="12">
        <v>6100</v>
      </c>
      <c r="L123" s="10"/>
      <c r="M123" s="10"/>
      <c r="N123" s="12">
        <v>6100</v>
      </c>
      <c r="O123" s="12">
        <v>3655.8</v>
      </c>
      <c r="P123" s="12">
        <v>3655.8</v>
      </c>
      <c r="Q123" s="12">
        <v>2444.1999999999998</v>
      </c>
      <c r="R123" s="11" t="s">
        <v>52</v>
      </c>
      <c r="S123" s="10"/>
      <c r="T123" s="10"/>
      <c r="U123" s="11" t="s">
        <v>71</v>
      </c>
      <c r="V123" s="11" t="s">
        <v>346</v>
      </c>
      <c r="W123" s="11" t="s">
        <v>347</v>
      </c>
      <c r="X123" s="10"/>
      <c r="Y123" s="10"/>
      <c r="Z123" s="10"/>
      <c r="AA123" s="10"/>
    </row>
    <row r="124" spans="1:27" hidden="1" x14ac:dyDescent="0.3">
      <c r="A124" s="8">
        <v>46043</v>
      </c>
      <c r="B124" s="8"/>
      <c r="C124" s="10"/>
      <c r="D124" s="11" t="s">
        <v>71</v>
      </c>
      <c r="E124" s="11" t="s">
        <v>348</v>
      </c>
      <c r="F124" s="10"/>
      <c r="G124" s="11" t="s">
        <v>877</v>
      </c>
      <c r="H124" s="11">
        <v>1</v>
      </c>
      <c r="I124" s="11" t="s">
        <v>100</v>
      </c>
      <c r="J124" s="25">
        <v>6100</v>
      </c>
      <c r="K124" s="12">
        <v>6100</v>
      </c>
      <c r="L124" s="10"/>
      <c r="M124" s="10"/>
      <c r="N124" s="12">
        <v>6100</v>
      </c>
      <c r="O124" s="12">
        <v>3655.8</v>
      </c>
      <c r="P124" s="12">
        <v>3655.8</v>
      </c>
      <c r="Q124" s="12">
        <v>2444.1999999999998</v>
      </c>
      <c r="R124" s="11" t="s">
        <v>52</v>
      </c>
      <c r="S124" s="10"/>
      <c r="T124" s="10"/>
      <c r="U124" s="11" t="s">
        <v>71</v>
      </c>
      <c r="V124" s="11" t="s">
        <v>349</v>
      </c>
      <c r="W124" s="11" t="s">
        <v>350</v>
      </c>
      <c r="X124" s="10"/>
      <c r="Y124" s="10"/>
      <c r="Z124" s="10"/>
      <c r="AA124" s="10"/>
    </row>
    <row r="125" spans="1:27" hidden="1" x14ac:dyDescent="0.3">
      <c r="A125" s="8">
        <v>46043</v>
      </c>
      <c r="B125" s="8"/>
      <c r="C125" s="10"/>
      <c r="D125" s="11" t="s">
        <v>207</v>
      </c>
      <c r="E125" s="11" t="s">
        <v>351</v>
      </c>
      <c r="F125" s="10"/>
      <c r="G125" s="11" t="s">
        <v>863</v>
      </c>
      <c r="H125" s="11">
        <v>1</v>
      </c>
      <c r="I125" s="11" t="s">
        <v>86</v>
      </c>
      <c r="J125" s="25">
        <v>58500</v>
      </c>
      <c r="K125" s="12">
        <v>58500</v>
      </c>
      <c r="L125" s="15">
        <v>58498.8</v>
      </c>
      <c r="M125" s="15">
        <v>7019.86</v>
      </c>
      <c r="N125" s="11" t="s">
        <v>80</v>
      </c>
      <c r="O125" s="12">
        <v>31242.41</v>
      </c>
      <c r="P125" s="12">
        <v>31242.41</v>
      </c>
      <c r="Q125" s="12">
        <v>27257.59</v>
      </c>
      <c r="R125" s="11" t="s">
        <v>52</v>
      </c>
      <c r="S125" s="10"/>
      <c r="T125" s="10"/>
      <c r="U125" s="11" t="s">
        <v>207</v>
      </c>
      <c r="V125" s="10"/>
      <c r="W125" s="10"/>
      <c r="X125" s="10"/>
      <c r="Y125" s="10"/>
      <c r="Z125" s="10"/>
      <c r="AA125" s="10"/>
    </row>
    <row r="126" spans="1:27" x14ac:dyDescent="0.3">
      <c r="A126" s="8">
        <v>46043</v>
      </c>
      <c r="B126" s="8"/>
      <c r="C126" s="10"/>
      <c r="D126" s="11" t="s">
        <v>207</v>
      </c>
      <c r="E126" s="11" t="s">
        <v>351</v>
      </c>
      <c r="F126" s="10"/>
      <c r="G126" s="11" t="s">
        <v>182</v>
      </c>
      <c r="H126" s="11">
        <v>1</v>
      </c>
      <c r="I126" s="11" t="s">
        <v>183</v>
      </c>
      <c r="J126" s="25">
        <v>6221</v>
      </c>
      <c r="K126" s="12">
        <v>6221</v>
      </c>
      <c r="L126" s="10"/>
      <c r="M126" s="10"/>
      <c r="N126" s="12">
        <v>6221</v>
      </c>
      <c r="O126" s="11" t="s">
        <v>80</v>
      </c>
      <c r="P126" s="11" t="s">
        <v>80</v>
      </c>
      <c r="Q126" s="12">
        <v>6221</v>
      </c>
      <c r="R126" s="11" t="s">
        <v>52</v>
      </c>
      <c r="S126" s="10"/>
      <c r="T126" s="10"/>
      <c r="U126" s="11" t="s">
        <v>207</v>
      </c>
      <c r="V126" s="10"/>
      <c r="W126" s="10"/>
      <c r="X126" s="10"/>
      <c r="Y126" s="10"/>
      <c r="Z126" s="10"/>
      <c r="AA126" s="10"/>
    </row>
    <row r="127" spans="1:27" hidden="1" x14ac:dyDescent="0.3">
      <c r="A127" s="8">
        <v>46043</v>
      </c>
      <c r="B127" s="8"/>
      <c r="C127" s="10"/>
      <c r="D127" s="11" t="s">
        <v>71</v>
      </c>
      <c r="E127" s="11" t="s">
        <v>352</v>
      </c>
      <c r="F127" s="10"/>
      <c r="G127" s="11" t="s">
        <v>152</v>
      </c>
      <c r="H127" s="11">
        <v>12</v>
      </c>
      <c r="I127" s="11" t="s">
        <v>74</v>
      </c>
      <c r="J127" s="25">
        <v>1400</v>
      </c>
      <c r="K127" s="12">
        <v>16800</v>
      </c>
      <c r="L127" s="15">
        <v>16798.8</v>
      </c>
      <c r="M127" s="15">
        <v>2015.86</v>
      </c>
      <c r="N127" s="10"/>
      <c r="O127" s="12">
        <v>870.33</v>
      </c>
      <c r="P127" s="12">
        <v>10443.959999999999</v>
      </c>
      <c r="Q127" s="12">
        <v>6356.04</v>
      </c>
      <c r="R127" s="11" t="s">
        <v>52</v>
      </c>
      <c r="S127" s="10"/>
      <c r="T127" s="10"/>
      <c r="U127" s="11" t="s">
        <v>71</v>
      </c>
      <c r="V127" s="11" t="s">
        <v>353</v>
      </c>
      <c r="W127" s="11" t="s">
        <v>354</v>
      </c>
      <c r="X127" s="10"/>
      <c r="Y127" s="10"/>
      <c r="Z127" s="10"/>
      <c r="AA127" s="10"/>
    </row>
    <row r="128" spans="1:27" hidden="1" x14ac:dyDescent="0.3">
      <c r="A128" s="8">
        <v>46044</v>
      </c>
      <c r="B128" s="8"/>
      <c r="C128" s="10"/>
      <c r="D128" s="11" t="s">
        <v>143</v>
      </c>
      <c r="E128" s="11" t="s">
        <v>144</v>
      </c>
      <c r="F128" s="10"/>
      <c r="G128" s="11" t="s">
        <v>877</v>
      </c>
      <c r="H128" s="11">
        <v>1</v>
      </c>
      <c r="I128" s="11" t="s">
        <v>100</v>
      </c>
      <c r="J128" s="25">
        <v>5500</v>
      </c>
      <c r="K128" s="12">
        <v>5500</v>
      </c>
      <c r="L128" s="10"/>
      <c r="M128" s="10"/>
      <c r="N128" s="12">
        <v>5500</v>
      </c>
      <c r="O128" s="12">
        <v>3655.8</v>
      </c>
      <c r="P128" s="12">
        <v>3655.8</v>
      </c>
      <c r="Q128" s="12">
        <v>1844.2</v>
      </c>
      <c r="R128" s="10"/>
      <c r="S128" s="10"/>
      <c r="T128" s="10"/>
      <c r="U128" s="11" t="s">
        <v>143</v>
      </c>
      <c r="V128" s="10"/>
      <c r="W128" s="10"/>
      <c r="X128" s="10"/>
      <c r="Y128" s="10"/>
      <c r="Z128" s="10"/>
      <c r="AA128" s="10"/>
    </row>
    <row r="129" spans="1:27" hidden="1" x14ac:dyDescent="0.3">
      <c r="A129" s="8">
        <v>46044</v>
      </c>
      <c r="B129" s="8"/>
      <c r="C129" s="10"/>
      <c r="D129" s="11" t="s">
        <v>71</v>
      </c>
      <c r="E129" s="11" t="s">
        <v>355</v>
      </c>
      <c r="F129" s="10"/>
      <c r="G129" s="11" t="s">
        <v>878</v>
      </c>
      <c r="H129" s="11">
        <v>2</v>
      </c>
      <c r="I129" s="11" t="s">
        <v>77</v>
      </c>
      <c r="J129" s="25">
        <v>340</v>
      </c>
      <c r="K129" s="12">
        <v>680</v>
      </c>
      <c r="L129" s="10"/>
      <c r="M129" s="10"/>
      <c r="N129" s="12">
        <v>680</v>
      </c>
      <c r="O129" s="12">
        <v>175.33</v>
      </c>
      <c r="P129" s="12">
        <v>350.66</v>
      </c>
      <c r="Q129" s="12">
        <v>329.34</v>
      </c>
      <c r="R129" s="11" t="s">
        <v>52</v>
      </c>
      <c r="S129" s="10"/>
      <c r="T129" s="10"/>
      <c r="U129" s="11" t="s">
        <v>71</v>
      </c>
      <c r="V129" s="11" t="s">
        <v>356</v>
      </c>
      <c r="W129" s="11" t="s">
        <v>357</v>
      </c>
      <c r="X129" s="10"/>
      <c r="Y129" s="10"/>
      <c r="Z129" s="10"/>
      <c r="AA129" s="10"/>
    </row>
    <row r="130" spans="1:27" hidden="1" x14ac:dyDescent="0.3">
      <c r="A130" s="8">
        <v>46044</v>
      </c>
      <c r="B130" s="8"/>
      <c r="C130" s="10"/>
      <c r="D130" s="11" t="s">
        <v>71</v>
      </c>
      <c r="E130" s="11" t="s">
        <v>243</v>
      </c>
      <c r="F130" s="10"/>
      <c r="G130" s="11" t="s">
        <v>878</v>
      </c>
      <c r="H130" s="11">
        <v>1</v>
      </c>
      <c r="I130" s="11" t="s">
        <v>77</v>
      </c>
      <c r="J130" s="25">
        <v>340</v>
      </c>
      <c r="K130" s="12">
        <v>340</v>
      </c>
      <c r="L130" s="10"/>
      <c r="M130" s="10"/>
      <c r="N130" s="12">
        <v>340</v>
      </c>
      <c r="O130" s="12">
        <v>175.33</v>
      </c>
      <c r="P130" s="12">
        <v>175.33</v>
      </c>
      <c r="Q130" s="12">
        <v>164.67</v>
      </c>
      <c r="R130" s="11" t="s">
        <v>52</v>
      </c>
      <c r="S130" s="10"/>
      <c r="T130" s="10"/>
      <c r="U130" s="11" t="s">
        <v>71</v>
      </c>
      <c r="V130" s="11" t="s">
        <v>244</v>
      </c>
      <c r="W130" s="11" t="s">
        <v>245</v>
      </c>
      <c r="X130" s="10"/>
      <c r="Y130" s="10"/>
      <c r="Z130" s="10"/>
      <c r="AA130" s="10"/>
    </row>
    <row r="131" spans="1:27" hidden="1" x14ac:dyDescent="0.3">
      <c r="A131" s="8">
        <v>46044</v>
      </c>
      <c r="B131" s="8"/>
      <c r="C131" s="10"/>
      <c r="D131" s="11" t="s">
        <v>71</v>
      </c>
      <c r="E131" s="11" t="s">
        <v>358</v>
      </c>
      <c r="F131" s="10"/>
      <c r="G131" s="11" t="s">
        <v>878</v>
      </c>
      <c r="H131" s="11">
        <v>1</v>
      </c>
      <c r="I131" s="11" t="s">
        <v>77</v>
      </c>
      <c r="J131" s="25">
        <v>340</v>
      </c>
      <c r="K131" s="12">
        <v>340</v>
      </c>
      <c r="L131" s="10"/>
      <c r="M131" s="10"/>
      <c r="N131" s="12">
        <v>340</v>
      </c>
      <c r="O131" s="12">
        <v>175.33</v>
      </c>
      <c r="P131" s="12">
        <v>175.33</v>
      </c>
      <c r="Q131" s="12">
        <v>164.67</v>
      </c>
      <c r="R131" s="11" t="s">
        <v>52</v>
      </c>
      <c r="S131" s="10"/>
      <c r="T131" s="10"/>
      <c r="U131" s="11" t="s">
        <v>71</v>
      </c>
      <c r="V131" s="11" t="s">
        <v>359</v>
      </c>
      <c r="W131" s="11" t="s">
        <v>360</v>
      </c>
      <c r="X131" s="10"/>
      <c r="Y131" s="10"/>
      <c r="Z131" s="10"/>
      <c r="AA131" s="10"/>
    </row>
    <row r="132" spans="1:27" hidden="1" x14ac:dyDescent="0.3">
      <c r="A132" s="8">
        <v>46045</v>
      </c>
      <c r="B132" s="8"/>
      <c r="C132" s="10"/>
      <c r="D132" s="11" t="s">
        <v>71</v>
      </c>
      <c r="E132" s="11" t="s">
        <v>361</v>
      </c>
      <c r="F132" s="10"/>
      <c r="G132" s="11" t="s">
        <v>259</v>
      </c>
      <c r="H132" s="11">
        <v>5</v>
      </c>
      <c r="I132" s="11" t="s">
        <v>74</v>
      </c>
      <c r="J132" s="25">
        <v>300</v>
      </c>
      <c r="K132" s="12">
        <v>1500</v>
      </c>
      <c r="L132" s="15">
        <v>1498.8</v>
      </c>
      <c r="M132" s="11">
        <v>179.86</v>
      </c>
      <c r="N132" s="10"/>
      <c r="O132" s="12">
        <v>84.68</v>
      </c>
      <c r="P132" s="12">
        <v>423.4</v>
      </c>
      <c r="Q132" s="12">
        <v>1076.5999999999999</v>
      </c>
      <c r="R132" s="11" t="s">
        <v>52</v>
      </c>
      <c r="S132" s="10"/>
      <c r="T132" s="10"/>
      <c r="U132" s="11" t="s">
        <v>71</v>
      </c>
      <c r="V132" s="11" t="s">
        <v>362</v>
      </c>
      <c r="W132" s="11" t="s">
        <v>363</v>
      </c>
      <c r="X132" s="10"/>
      <c r="Y132" s="10"/>
      <c r="Z132" s="10"/>
      <c r="AA132" s="10"/>
    </row>
    <row r="133" spans="1:27" hidden="1" x14ac:dyDescent="0.3">
      <c r="A133" s="8">
        <v>46045</v>
      </c>
      <c r="B133" s="8"/>
      <c r="C133" s="10"/>
      <c r="D133" s="11" t="s">
        <v>71</v>
      </c>
      <c r="E133" s="11" t="s">
        <v>364</v>
      </c>
      <c r="F133" s="10"/>
      <c r="G133" s="11" t="s">
        <v>148</v>
      </c>
      <c r="H133" s="11">
        <v>4</v>
      </c>
      <c r="I133" s="11" t="s">
        <v>365</v>
      </c>
      <c r="J133" s="25">
        <v>300</v>
      </c>
      <c r="K133" s="12">
        <v>1200</v>
      </c>
      <c r="L133" s="15">
        <v>1198.8</v>
      </c>
      <c r="M133" s="11">
        <v>143.86000000000001</v>
      </c>
      <c r="N133" s="10"/>
      <c r="O133" s="12">
        <v>119.01</v>
      </c>
      <c r="P133" s="12">
        <v>476.04</v>
      </c>
      <c r="Q133" s="12">
        <v>723.96</v>
      </c>
      <c r="R133" s="11" t="s">
        <v>52</v>
      </c>
      <c r="S133" s="10"/>
      <c r="T133" s="10"/>
      <c r="U133" s="11" t="s">
        <v>71</v>
      </c>
      <c r="V133" s="11" t="s">
        <v>366</v>
      </c>
      <c r="W133" s="11" t="s">
        <v>367</v>
      </c>
      <c r="X133" s="10"/>
      <c r="Y133" s="10"/>
      <c r="Z133" s="10"/>
      <c r="AA133" s="10"/>
    </row>
    <row r="134" spans="1:27" hidden="1" x14ac:dyDescent="0.3">
      <c r="A134" s="8">
        <v>46045</v>
      </c>
      <c r="B134" s="8"/>
      <c r="C134" s="10"/>
      <c r="D134" s="11" t="s">
        <v>71</v>
      </c>
      <c r="E134" s="11" t="s">
        <v>364</v>
      </c>
      <c r="F134" s="10"/>
      <c r="G134" s="11" t="s">
        <v>368</v>
      </c>
      <c r="H134" s="11">
        <v>8</v>
      </c>
      <c r="I134" s="11" t="s">
        <v>365</v>
      </c>
      <c r="J134" s="25">
        <v>300</v>
      </c>
      <c r="K134" s="12">
        <v>2400</v>
      </c>
      <c r="L134" s="15">
        <v>2398.8000000000002</v>
      </c>
      <c r="M134" s="11">
        <v>287.86</v>
      </c>
      <c r="N134" s="10"/>
      <c r="O134" s="12">
        <v>55.01</v>
      </c>
      <c r="P134" s="12">
        <v>440.08</v>
      </c>
      <c r="Q134" s="12">
        <v>1959.92</v>
      </c>
      <c r="R134" s="11" t="s">
        <v>52</v>
      </c>
      <c r="S134" s="10"/>
      <c r="T134" s="10"/>
      <c r="U134" s="11" t="s">
        <v>71</v>
      </c>
      <c r="V134" s="11" t="s">
        <v>366</v>
      </c>
      <c r="W134" s="11" t="s">
        <v>367</v>
      </c>
      <c r="X134" s="10"/>
      <c r="Y134" s="10"/>
      <c r="Z134" s="10"/>
      <c r="AA134" s="10"/>
    </row>
    <row r="135" spans="1:27" hidden="1" x14ac:dyDescent="0.3">
      <c r="A135" s="8">
        <v>46045</v>
      </c>
      <c r="B135" s="8"/>
      <c r="C135" s="10"/>
      <c r="D135" s="11" t="s">
        <v>71</v>
      </c>
      <c r="E135" s="11" t="s">
        <v>369</v>
      </c>
      <c r="F135" s="10"/>
      <c r="G135" s="11" t="s">
        <v>370</v>
      </c>
      <c r="H135" s="11">
        <v>1</v>
      </c>
      <c r="I135" s="11" t="s">
        <v>74</v>
      </c>
      <c r="J135" s="25">
        <v>1310</v>
      </c>
      <c r="K135" s="12">
        <v>1310</v>
      </c>
      <c r="L135" s="15">
        <v>1308.8</v>
      </c>
      <c r="M135" s="11">
        <v>157.06</v>
      </c>
      <c r="N135" s="10"/>
      <c r="O135" s="12">
        <v>880</v>
      </c>
      <c r="P135" s="12">
        <v>880</v>
      </c>
      <c r="Q135" s="12">
        <v>430</v>
      </c>
      <c r="R135" s="11" t="s">
        <v>52</v>
      </c>
      <c r="S135" s="10"/>
      <c r="T135" s="10"/>
      <c r="U135" s="11" t="s">
        <v>71</v>
      </c>
      <c r="V135" s="11" t="s">
        <v>371</v>
      </c>
      <c r="W135" s="11" t="s">
        <v>372</v>
      </c>
      <c r="X135" s="10"/>
      <c r="Y135" s="10"/>
      <c r="Z135" s="10"/>
      <c r="AA135" s="10"/>
    </row>
    <row r="136" spans="1:27" hidden="1" x14ac:dyDescent="0.3">
      <c r="A136" s="8">
        <v>46045</v>
      </c>
      <c r="B136" s="8"/>
      <c r="C136" s="10"/>
      <c r="D136" s="10"/>
      <c r="E136" s="11" t="s">
        <v>178</v>
      </c>
      <c r="F136" s="10"/>
      <c r="G136" s="11" t="s">
        <v>878</v>
      </c>
      <c r="H136" s="11">
        <v>5</v>
      </c>
      <c r="I136" s="11" t="s">
        <v>77</v>
      </c>
      <c r="J136" s="25">
        <v>340</v>
      </c>
      <c r="K136" s="12">
        <v>1700</v>
      </c>
      <c r="L136" s="15">
        <v>1698.8</v>
      </c>
      <c r="M136" s="11">
        <v>203.86</v>
      </c>
      <c r="N136" s="12">
        <v>1700</v>
      </c>
      <c r="O136" s="12">
        <v>175.33</v>
      </c>
      <c r="P136" s="12">
        <v>876.65</v>
      </c>
      <c r="Q136" s="12">
        <v>823.35</v>
      </c>
      <c r="R136" s="11" t="s">
        <v>52</v>
      </c>
      <c r="S136" s="10"/>
      <c r="T136" s="10"/>
      <c r="U136" s="11" t="s">
        <v>147</v>
      </c>
      <c r="V136" s="10"/>
      <c r="W136" s="10"/>
      <c r="X136" s="10"/>
      <c r="Y136" s="10"/>
      <c r="Z136" s="10"/>
      <c r="AA136" s="10"/>
    </row>
    <row r="137" spans="1:27" hidden="1" x14ac:dyDescent="0.3">
      <c r="A137" s="8">
        <v>46046</v>
      </c>
      <c r="B137" s="8"/>
      <c r="C137" s="10"/>
      <c r="D137" s="11" t="s">
        <v>71</v>
      </c>
      <c r="E137" s="11" t="s">
        <v>373</v>
      </c>
      <c r="F137" s="10"/>
      <c r="G137" s="11" t="s">
        <v>85</v>
      </c>
      <c r="H137" s="11">
        <v>2</v>
      </c>
      <c r="I137" s="11" t="s">
        <v>86</v>
      </c>
      <c r="J137" s="25">
        <v>560</v>
      </c>
      <c r="K137" s="12">
        <v>1120</v>
      </c>
      <c r="L137" s="15">
        <v>1118.8</v>
      </c>
      <c r="M137" s="11">
        <v>134.26</v>
      </c>
      <c r="N137" s="10"/>
      <c r="O137" s="12">
        <v>218.56</v>
      </c>
      <c r="P137" s="12">
        <v>437.12</v>
      </c>
      <c r="Q137" s="12">
        <v>682.88</v>
      </c>
      <c r="R137" s="11" t="s">
        <v>52</v>
      </c>
      <c r="S137" s="10"/>
      <c r="T137" s="10"/>
      <c r="U137" s="11" t="s">
        <v>71</v>
      </c>
      <c r="V137" s="11" t="s">
        <v>374</v>
      </c>
      <c r="W137" s="11" t="s">
        <v>375</v>
      </c>
      <c r="X137" s="10"/>
      <c r="Y137" s="10"/>
      <c r="Z137" s="10"/>
      <c r="AA137" s="10"/>
    </row>
    <row r="138" spans="1:27" hidden="1" x14ac:dyDescent="0.3">
      <c r="A138" s="8">
        <v>46046</v>
      </c>
      <c r="B138" s="8"/>
      <c r="C138" s="10"/>
      <c r="D138" s="11" t="s">
        <v>71</v>
      </c>
      <c r="E138" s="11" t="s">
        <v>373</v>
      </c>
      <c r="F138" s="10"/>
      <c r="G138" s="11" t="s">
        <v>148</v>
      </c>
      <c r="H138" s="11">
        <v>6</v>
      </c>
      <c r="I138" s="11" t="s">
        <v>365</v>
      </c>
      <c r="J138" s="25">
        <v>300</v>
      </c>
      <c r="K138" s="12">
        <v>1800</v>
      </c>
      <c r="L138" s="15">
        <v>1798.8</v>
      </c>
      <c r="M138" s="11">
        <v>215.86</v>
      </c>
      <c r="N138" s="10"/>
      <c r="O138" s="12">
        <v>119.01</v>
      </c>
      <c r="P138" s="12">
        <v>714.06</v>
      </c>
      <c r="Q138" s="12">
        <v>1085.94</v>
      </c>
      <c r="R138" s="11" t="s">
        <v>52</v>
      </c>
      <c r="S138" s="10"/>
      <c r="T138" s="10"/>
      <c r="U138" s="11" t="s">
        <v>71</v>
      </c>
      <c r="V138" s="11" t="s">
        <v>374</v>
      </c>
      <c r="W138" s="11" t="s">
        <v>375</v>
      </c>
      <c r="X138" s="10"/>
      <c r="Y138" s="10"/>
      <c r="Z138" s="10"/>
      <c r="AA138" s="10"/>
    </row>
    <row r="139" spans="1:27" hidden="1" x14ac:dyDescent="0.3">
      <c r="A139" s="8">
        <v>46048</v>
      </c>
      <c r="B139" s="8"/>
      <c r="C139" s="10"/>
      <c r="D139" s="11" t="s">
        <v>71</v>
      </c>
      <c r="E139" s="11" t="s">
        <v>376</v>
      </c>
      <c r="F139" s="10"/>
      <c r="G139" s="11" t="s">
        <v>370</v>
      </c>
      <c r="H139" s="11">
        <v>1</v>
      </c>
      <c r="I139" s="11" t="s">
        <v>74</v>
      </c>
      <c r="J139" s="25">
        <v>1310</v>
      </c>
      <c r="K139" s="12">
        <v>1310</v>
      </c>
      <c r="L139" s="15">
        <v>1308.8</v>
      </c>
      <c r="M139" s="11">
        <v>157.06</v>
      </c>
      <c r="N139" s="10"/>
      <c r="O139" s="12">
        <v>880</v>
      </c>
      <c r="P139" s="12">
        <v>880</v>
      </c>
      <c r="Q139" s="12">
        <v>430</v>
      </c>
      <c r="R139" s="11" t="s">
        <v>52</v>
      </c>
      <c r="S139" s="10"/>
      <c r="T139" s="10"/>
      <c r="U139" s="11" t="s">
        <v>71</v>
      </c>
      <c r="V139" s="11" t="s">
        <v>377</v>
      </c>
      <c r="W139" s="11" t="s">
        <v>378</v>
      </c>
      <c r="X139" s="10"/>
      <c r="Y139" s="10"/>
      <c r="Z139" s="10"/>
      <c r="AA139" s="10"/>
    </row>
    <row r="140" spans="1:27" hidden="1" x14ac:dyDescent="0.3">
      <c r="A140" s="8">
        <v>46048</v>
      </c>
      <c r="B140" s="8"/>
      <c r="C140" s="10"/>
      <c r="D140" s="11" t="s">
        <v>71</v>
      </c>
      <c r="E140" s="11" t="s">
        <v>364</v>
      </c>
      <c r="F140" s="10"/>
      <c r="G140" s="11" t="s">
        <v>867</v>
      </c>
      <c r="H140" s="11">
        <v>1</v>
      </c>
      <c r="I140" s="11" t="s">
        <v>268</v>
      </c>
      <c r="J140" s="25">
        <v>1500</v>
      </c>
      <c r="K140" s="12">
        <v>1500</v>
      </c>
      <c r="L140" s="15">
        <v>1498.8</v>
      </c>
      <c r="M140" s="11">
        <v>179.86</v>
      </c>
      <c r="N140" s="10"/>
      <c r="O140" s="12">
        <v>139.08000000000001</v>
      </c>
      <c r="P140" s="12">
        <v>139.08000000000001</v>
      </c>
      <c r="Q140" s="12">
        <v>1360.92</v>
      </c>
      <c r="R140" s="11" t="s">
        <v>52</v>
      </c>
      <c r="S140" s="10"/>
      <c r="T140" s="10"/>
      <c r="U140" s="11" t="s">
        <v>71</v>
      </c>
      <c r="V140" s="11" t="s">
        <v>366</v>
      </c>
      <c r="W140" s="11" t="s">
        <v>367</v>
      </c>
      <c r="X140" s="10"/>
      <c r="Y140" s="10"/>
      <c r="Z140" s="10"/>
      <c r="AA140" s="10"/>
    </row>
    <row r="141" spans="1:27" hidden="1" x14ac:dyDescent="0.3">
      <c r="A141" s="8">
        <v>46048</v>
      </c>
      <c r="B141" s="8"/>
      <c r="C141" s="10"/>
      <c r="D141" s="11" t="s">
        <v>71</v>
      </c>
      <c r="E141" s="11" t="s">
        <v>379</v>
      </c>
      <c r="F141" s="10"/>
      <c r="G141" s="11" t="s">
        <v>602</v>
      </c>
      <c r="H141" s="11">
        <v>2</v>
      </c>
      <c r="I141" s="11" t="s">
        <v>130</v>
      </c>
      <c r="J141" s="25">
        <v>500</v>
      </c>
      <c r="K141" s="12">
        <v>1000</v>
      </c>
      <c r="L141" s="11">
        <v>998.8</v>
      </c>
      <c r="M141" s="11">
        <v>119.86</v>
      </c>
      <c r="N141" s="10"/>
      <c r="O141" s="12">
        <v>56.43</v>
      </c>
      <c r="P141" s="12">
        <v>112.86</v>
      </c>
      <c r="Q141" s="12">
        <v>887.14</v>
      </c>
      <c r="R141" s="11" t="s">
        <v>52</v>
      </c>
      <c r="S141" s="10"/>
      <c r="T141" s="10"/>
      <c r="U141" s="11" t="s">
        <v>71</v>
      </c>
      <c r="V141" s="11" t="s">
        <v>380</v>
      </c>
      <c r="W141" s="11" t="s">
        <v>381</v>
      </c>
      <c r="X141" s="10"/>
      <c r="Y141" s="10"/>
      <c r="Z141" s="10"/>
      <c r="AA141" s="10"/>
    </row>
    <row r="142" spans="1:27" hidden="1" x14ac:dyDescent="0.3">
      <c r="A142" s="8">
        <v>46048</v>
      </c>
      <c r="B142" s="8"/>
      <c r="C142" s="10"/>
      <c r="D142" s="11" t="s">
        <v>71</v>
      </c>
      <c r="E142" s="11" t="s">
        <v>382</v>
      </c>
      <c r="F142" s="10"/>
      <c r="G142" s="11" t="s">
        <v>383</v>
      </c>
      <c r="H142" s="11">
        <v>1</v>
      </c>
      <c r="I142" s="11" t="s">
        <v>74</v>
      </c>
      <c r="J142" s="25">
        <v>2139</v>
      </c>
      <c r="K142" s="12">
        <v>2139</v>
      </c>
      <c r="L142" s="15">
        <v>2137.8000000000002</v>
      </c>
      <c r="M142" s="11">
        <v>256.54000000000002</v>
      </c>
      <c r="N142" s="10"/>
      <c r="O142" s="12">
        <v>1341.67</v>
      </c>
      <c r="P142" s="12">
        <v>1341.67</v>
      </c>
      <c r="Q142" s="12">
        <v>797.33</v>
      </c>
      <c r="R142" s="11" t="s">
        <v>52</v>
      </c>
      <c r="S142" s="10"/>
      <c r="T142" s="10"/>
      <c r="U142" s="11" t="s">
        <v>71</v>
      </c>
      <c r="V142" s="11" t="s">
        <v>384</v>
      </c>
      <c r="W142" s="11" t="s">
        <v>385</v>
      </c>
      <c r="X142" s="10"/>
      <c r="Y142" s="10"/>
      <c r="Z142" s="10"/>
      <c r="AA142" s="10"/>
    </row>
    <row r="143" spans="1:27" hidden="1" x14ac:dyDescent="0.3">
      <c r="A143" s="8">
        <v>46048</v>
      </c>
      <c r="B143" s="8"/>
      <c r="C143" s="10"/>
      <c r="D143" s="11" t="s">
        <v>386</v>
      </c>
      <c r="E143" s="11" t="s">
        <v>387</v>
      </c>
      <c r="F143" s="11" t="s">
        <v>388</v>
      </c>
      <c r="G143" s="11" t="s">
        <v>868</v>
      </c>
      <c r="H143" s="11">
        <v>5</v>
      </c>
      <c r="I143" s="11" t="s">
        <v>389</v>
      </c>
      <c r="J143" s="25">
        <v>6000</v>
      </c>
      <c r="K143" s="12">
        <v>30000</v>
      </c>
      <c r="L143" s="15">
        <v>29998.799999999999</v>
      </c>
      <c r="M143" s="15">
        <v>3599.86</v>
      </c>
      <c r="N143" s="10"/>
      <c r="O143" s="12">
        <v>4413.2299999999996</v>
      </c>
      <c r="P143" s="12">
        <v>22066.15</v>
      </c>
      <c r="Q143" s="12">
        <v>7933.85</v>
      </c>
      <c r="R143" s="10"/>
      <c r="S143" s="10"/>
      <c r="T143" s="11">
        <v>9177205043</v>
      </c>
      <c r="U143" s="11" t="s">
        <v>390</v>
      </c>
      <c r="V143" s="11" t="s">
        <v>391</v>
      </c>
      <c r="W143" s="11" t="s">
        <v>392</v>
      </c>
      <c r="X143" s="10"/>
      <c r="Y143" s="10"/>
      <c r="Z143" s="10"/>
      <c r="AA143" s="10"/>
    </row>
    <row r="144" spans="1:27" hidden="1" x14ac:dyDescent="0.3">
      <c r="A144" s="8">
        <v>46048</v>
      </c>
      <c r="B144" s="8"/>
      <c r="C144" s="10"/>
      <c r="D144" s="11" t="s">
        <v>386</v>
      </c>
      <c r="E144" s="11" t="s">
        <v>387</v>
      </c>
      <c r="F144" s="11" t="s">
        <v>388</v>
      </c>
      <c r="G144" s="11" t="s">
        <v>556</v>
      </c>
      <c r="H144" s="11">
        <v>5</v>
      </c>
      <c r="I144" s="11" t="s">
        <v>130</v>
      </c>
      <c r="J144" s="25">
        <v>7000</v>
      </c>
      <c r="K144" s="12">
        <v>35000</v>
      </c>
      <c r="L144" s="15">
        <v>34998.800000000003</v>
      </c>
      <c r="M144" s="15">
        <v>4199.8599999999997</v>
      </c>
      <c r="N144" s="11" t="s">
        <v>80</v>
      </c>
      <c r="O144" s="12">
        <v>5014.16</v>
      </c>
      <c r="P144" s="12">
        <v>25070.82</v>
      </c>
      <c r="Q144" s="12">
        <v>9929.19</v>
      </c>
      <c r="R144" s="10"/>
      <c r="S144" s="10"/>
      <c r="T144" s="11">
        <v>9616570485</v>
      </c>
      <c r="U144" s="11" t="s">
        <v>390</v>
      </c>
      <c r="V144" s="11" t="s">
        <v>393</v>
      </c>
      <c r="W144" s="11" t="s">
        <v>392</v>
      </c>
      <c r="X144" s="10"/>
      <c r="Y144" s="10"/>
      <c r="Z144" s="10"/>
      <c r="AA144" s="10"/>
    </row>
    <row r="145" spans="1:27" hidden="1" x14ac:dyDescent="0.3">
      <c r="A145" s="8">
        <v>46048</v>
      </c>
      <c r="B145" s="8"/>
      <c r="C145" s="10"/>
      <c r="D145" s="11" t="s">
        <v>394</v>
      </c>
      <c r="E145" s="11" t="s">
        <v>395</v>
      </c>
      <c r="F145" s="11" t="s">
        <v>396</v>
      </c>
      <c r="G145" s="11" t="s">
        <v>187</v>
      </c>
      <c r="H145" s="11">
        <v>1</v>
      </c>
      <c r="I145" s="11" t="s">
        <v>188</v>
      </c>
      <c r="J145" s="25">
        <v>2000</v>
      </c>
      <c r="K145" s="12">
        <v>2000</v>
      </c>
      <c r="L145" s="15">
        <v>1998.8</v>
      </c>
      <c r="M145" s="11">
        <v>239.86</v>
      </c>
      <c r="N145" s="10"/>
      <c r="O145" s="12">
        <v>1359.99</v>
      </c>
      <c r="P145" s="12">
        <v>1359.99</v>
      </c>
      <c r="Q145" s="12">
        <v>640.01</v>
      </c>
      <c r="R145" s="10"/>
      <c r="S145" s="10"/>
      <c r="T145" s="10"/>
      <c r="U145" s="11" t="s">
        <v>147</v>
      </c>
      <c r="V145" s="10"/>
      <c r="W145" s="10"/>
      <c r="X145" s="10"/>
      <c r="Y145" s="10"/>
      <c r="Z145" s="10"/>
      <c r="AA145" s="10"/>
    </row>
    <row r="146" spans="1:27" hidden="1" x14ac:dyDescent="0.3">
      <c r="A146" s="8">
        <v>46049</v>
      </c>
      <c r="B146" s="8"/>
      <c r="C146" s="10"/>
      <c r="D146" s="11" t="s">
        <v>71</v>
      </c>
      <c r="E146" s="11" t="s">
        <v>173</v>
      </c>
      <c r="F146" s="10"/>
      <c r="G146" s="11" t="s">
        <v>879</v>
      </c>
      <c r="H146" s="11">
        <v>6</v>
      </c>
      <c r="I146" s="11" t="s">
        <v>268</v>
      </c>
      <c r="J146" s="25">
        <v>250</v>
      </c>
      <c r="K146" s="12">
        <v>1500</v>
      </c>
      <c r="L146" s="10"/>
      <c r="M146" s="10"/>
      <c r="N146" s="12">
        <v>1500</v>
      </c>
      <c r="O146" s="12">
        <v>102.22</v>
      </c>
      <c r="P146" s="12">
        <v>613.32000000000005</v>
      </c>
      <c r="Q146" s="12">
        <v>886.68</v>
      </c>
      <c r="R146" s="11" t="s">
        <v>52</v>
      </c>
      <c r="S146" s="10"/>
      <c r="T146" s="10"/>
      <c r="U146" s="11" t="s">
        <v>71</v>
      </c>
      <c r="V146" s="11" t="s">
        <v>174</v>
      </c>
      <c r="W146" s="11" t="s">
        <v>175</v>
      </c>
      <c r="X146" s="10"/>
      <c r="Y146" s="10"/>
      <c r="Z146" s="10"/>
      <c r="AA146" s="10"/>
    </row>
    <row r="147" spans="1:27" hidden="1" x14ac:dyDescent="0.3">
      <c r="A147" s="8">
        <v>46049</v>
      </c>
      <c r="B147" s="8"/>
      <c r="C147" s="10"/>
      <c r="D147" s="11" t="s">
        <v>397</v>
      </c>
      <c r="E147" s="11" t="s">
        <v>398</v>
      </c>
      <c r="F147" s="10"/>
      <c r="G147" s="11" t="s">
        <v>370</v>
      </c>
      <c r="H147" s="11">
        <v>2</v>
      </c>
      <c r="I147" s="11" t="s">
        <v>74</v>
      </c>
      <c r="J147" s="25">
        <v>1310</v>
      </c>
      <c r="K147" s="12">
        <v>2620</v>
      </c>
      <c r="L147" s="15">
        <v>2618.8000000000002</v>
      </c>
      <c r="M147" s="11">
        <v>314.26</v>
      </c>
      <c r="N147" s="10"/>
      <c r="O147" s="12">
        <v>880</v>
      </c>
      <c r="P147" s="12">
        <v>1760</v>
      </c>
      <c r="Q147" s="12">
        <v>860</v>
      </c>
      <c r="R147" s="10"/>
      <c r="S147" s="10"/>
      <c r="T147" s="10"/>
      <c r="U147" s="11" t="s">
        <v>147</v>
      </c>
      <c r="V147" s="10"/>
      <c r="W147" s="10"/>
      <c r="X147" s="10"/>
      <c r="Y147" s="10"/>
      <c r="Z147" s="10"/>
      <c r="AA147" s="10"/>
    </row>
    <row r="148" spans="1:27" hidden="1" x14ac:dyDescent="0.3">
      <c r="A148" s="8">
        <v>46051</v>
      </c>
      <c r="B148" s="8"/>
      <c r="C148" s="10"/>
      <c r="D148" s="11" t="s">
        <v>71</v>
      </c>
      <c r="E148" s="11" t="s">
        <v>211</v>
      </c>
      <c r="F148" s="10"/>
      <c r="G148" s="11" t="s">
        <v>111</v>
      </c>
      <c r="H148" s="11">
        <v>1</v>
      </c>
      <c r="I148" s="11" t="s">
        <v>74</v>
      </c>
      <c r="J148" s="25">
        <v>1249</v>
      </c>
      <c r="K148" s="12">
        <v>1249</v>
      </c>
      <c r="L148" s="15">
        <v>1247.8</v>
      </c>
      <c r="M148" s="11">
        <v>149.74</v>
      </c>
      <c r="N148" s="10"/>
      <c r="O148" s="12">
        <v>870</v>
      </c>
      <c r="P148" s="12">
        <v>870</v>
      </c>
      <c r="Q148" s="12">
        <v>379</v>
      </c>
      <c r="R148" s="11" t="s">
        <v>52</v>
      </c>
      <c r="S148" s="10"/>
      <c r="T148" s="10"/>
      <c r="U148" s="11" t="s">
        <v>71</v>
      </c>
      <c r="V148" s="11" t="s">
        <v>212</v>
      </c>
      <c r="W148" s="11" t="s">
        <v>213</v>
      </c>
      <c r="X148" s="10"/>
      <c r="Y148" s="10"/>
      <c r="Z148" s="10"/>
      <c r="AA148" s="10"/>
    </row>
    <row r="149" spans="1:27" hidden="1" x14ac:dyDescent="0.3">
      <c r="A149" s="8">
        <v>46051</v>
      </c>
      <c r="B149" s="8"/>
      <c r="C149" s="10"/>
      <c r="D149" s="11" t="s">
        <v>71</v>
      </c>
      <c r="E149" s="11" t="s">
        <v>399</v>
      </c>
      <c r="F149" s="10"/>
      <c r="G149" s="11" t="s">
        <v>877</v>
      </c>
      <c r="H149" s="11">
        <v>1</v>
      </c>
      <c r="I149" s="11" t="s">
        <v>100</v>
      </c>
      <c r="J149" s="25">
        <v>6100</v>
      </c>
      <c r="K149" s="12">
        <v>6100</v>
      </c>
      <c r="L149" s="10"/>
      <c r="M149" s="10"/>
      <c r="N149" s="12">
        <v>16500</v>
      </c>
      <c r="O149" s="12">
        <v>3731.54</v>
      </c>
      <c r="P149" s="12">
        <v>3731.54</v>
      </c>
      <c r="Q149" s="12">
        <v>2368.46</v>
      </c>
      <c r="R149" s="11" t="s">
        <v>52</v>
      </c>
      <c r="S149" s="10"/>
      <c r="T149" s="10"/>
      <c r="U149" s="11" t="s">
        <v>71</v>
      </c>
      <c r="V149" s="11" t="s">
        <v>400</v>
      </c>
      <c r="W149" s="11" t="s">
        <v>401</v>
      </c>
      <c r="X149" s="10"/>
      <c r="Y149" s="10"/>
      <c r="Z149" s="10"/>
      <c r="AA149" s="10"/>
    </row>
    <row r="150" spans="1:27" hidden="1" x14ac:dyDescent="0.3">
      <c r="A150" s="8">
        <v>46051</v>
      </c>
      <c r="B150" s="8"/>
      <c r="C150" s="10"/>
      <c r="D150" s="11" t="s">
        <v>71</v>
      </c>
      <c r="E150" s="11" t="s">
        <v>399</v>
      </c>
      <c r="F150" s="10"/>
      <c r="G150" s="11" t="s">
        <v>370</v>
      </c>
      <c r="H150" s="11">
        <v>1</v>
      </c>
      <c r="I150" s="11" t="s">
        <v>74</v>
      </c>
      <c r="J150" s="25">
        <v>1310</v>
      </c>
      <c r="K150" s="12">
        <v>1310</v>
      </c>
      <c r="L150" s="15">
        <v>1308.8</v>
      </c>
      <c r="M150" s="11">
        <v>157.06</v>
      </c>
      <c r="N150" s="10"/>
      <c r="O150" s="12">
        <v>880</v>
      </c>
      <c r="P150" s="12">
        <v>880</v>
      </c>
      <c r="Q150" s="12">
        <v>430</v>
      </c>
      <c r="R150" s="11" t="s">
        <v>52</v>
      </c>
      <c r="S150" s="10"/>
      <c r="T150" s="10"/>
      <c r="U150" s="11" t="s">
        <v>71</v>
      </c>
      <c r="V150" s="11" t="s">
        <v>400</v>
      </c>
      <c r="W150" s="11" t="s">
        <v>401</v>
      </c>
      <c r="X150" s="10"/>
      <c r="Y150" s="10"/>
      <c r="Z150" s="10"/>
      <c r="AA150" s="10"/>
    </row>
    <row r="151" spans="1:27" hidden="1" x14ac:dyDescent="0.3">
      <c r="A151" s="8">
        <v>46051</v>
      </c>
      <c r="B151" s="8"/>
      <c r="C151" s="10"/>
      <c r="D151" s="11" t="s">
        <v>402</v>
      </c>
      <c r="E151" s="11" t="s">
        <v>403</v>
      </c>
      <c r="F151" s="10"/>
      <c r="G151" s="11" t="s">
        <v>877</v>
      </c>
      <c r="H151" s="11">
        <v>2</v>
      </c>
      <c r="I151" s="11" t="s">
        <v>100</v>
      </c>
      <c r="J151" s="25">
        <v>5500</v>
      </c>
      <c r="K151" s="12">
        <v>11000</v>
      </c>
      <c r="L151" s="10"/>
      <c r="M151" s="10"/>
      <c r="N151" s="12">
        <v>11000</v>
      </c>
      <c r="O151" s="12">
        <v>3731.54</v>
      </c>
      <c r="P151" s="12">
        <v>7463.08</v>
      </c>
      <c r="Q151" s="12">
        <v>3536.92</v>
      </c>
      <c r="R151" s="11" t="s">
        <v>52</v>
      </c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x14ac:dyDescent="0.3">
      <c r="A152" s="8">
        <v>46051</v>
      </c>
      <c r="B152" s="8"/>
      <c r="C152" s="10"/>
      <c r="D152" s="11" t="s">
        <v>402</v>
      </c>
      <c r="E152" s="11" t="s">
        <v>403</v>
      </c>
      <c r="F152" s="10"/>
      <c r="G152" s="11" t="s">
        <v>182</v>
      </c>
      <c r="H152" s="11">
        <v>1</v>
      </c>
      <c r="I152" s="11" t="s">
        <v>183</v>
      </c>
      <c r="J152" s="25">
        <v>900</v>
      </c>
      <c r="K152" s="12">
        <v>900</v>
      </c>
      <c r="L152" s="10"/>
      <c r="M152" s="10"/>
      <c r="N152" s="12">
        <v>900</v>
      </c>
      <c r="O152" s="11" t="s">
        <v>80</v>
      </c>
      <c r="P152" s="11" t="s">
        <v>80</v>
      </c>
      <c r="Q152" s="12">
        <v>900</v>
      </c>
      <c r="R152" s="11" t="s">
        <v>52</v>
      </c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hidden="1" x14ac:dyDescent="0.3">
      <c r="A153" s="8">
        <v>46051</v>
      </c>
      <c r="B153" s="8"/>
      <c r="C153" s="10"/>
      <c r="D153" s="11" t="s">
        <v>402</v>
      </c>
      <c r="E153" s="11" t="s">
        <v>404</v>
      </c>
      <c r="F153" s="10"/>
      <c r="G153" s="11" t="s">
        <v>877</v>
      </c>
      <c r="H153" s="11">
        <v>20</v>
      </c>
      <c r="I153" s="11" t="s">
        <v>100</v>
      </c>
      <c r="J153" s="25">
        <v>5250</v>
      </c>
      <c r="K153" s="12">
        <v>105000</v>
      </c>
      <c r="L153" s="10"/>
      <c r="M153" s="10"/>
      <c r="N153" s="12">
        <v>105000</v>
      </c>
      <c r="O153" s="12">
        <v>3731.54</v>
      </c>
      <c r="P153" s="12">
        <v>74630.8</v>
      </c>
      <c r="Q153" s="12">
        <v>30369.200000000001</v>
      </c>
      <c r="R153" s="11" t="s">
        <v>51</v>
      </c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x14ac:dyDescent="0.3">
      <c r="A154" s="8">
        <v>46051</v>
      </c>
      <c r="B154" s="8"/>
      <c r="C154" s="10"/>
      <c r="D154" s="11" t="s">
        <v>402</v>
      </c>
      <c r="E154" s="11" t="s">
        <v>404</v>
      </c>
      <c r="F154" s="10"/>
      <c r="G154" s="11" t="s">
        <v>182</v>
      </c>
      <c r="H154" s="11">
        <v>1</v>
      </c>
      <c r="I154" s="11" t="s">
        <v>183</v>
      </c>
      <c r="J154" s="25">
        <v>8576.7999999999993</v>
      </c>
      <c r="K154" s="12">
        <v>8576.7999999999993</v>
      </c>
      <c r="L154" s="10"/>
      <c r="M154" s="10"/>
      <c r="N154" s="12">
        <v>8576.7999999999993</v>
      </c>
      <c r="O154" s="11" t="s">
        <v>80</v>
      </c>
      <c r="P154" s="11" t="s">
        <v>80</v>
      </c>
      <c r="Q154" s="12">
        <v>8576.7999999999993</v>
      </c>
      <c r="R154" s="11" t="s">
        <v>51</v>
      </c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hidden="1" x14ac:dyDescent="0.3">
      <c r="A155" s="8">
        <v>46051</v>
      </c>
      <c r="B155" s="8"/>
      <c r="C155" s="10"/>
      <c r="D155" s="11" t="s">
        <v>402</v>
      </c>
      <c r="E155" s="11" t="s">
        <v>351</v>
      </c>
      <c r="F155" s="10"/>
      <c r="G155" s="11" t="s">
        <v>877</v>
      </c>
      <c r="H155" s="11">
        <v>16</v>
      </c>
      <c r="I155" s="11" t="s">
        <v>100</v>
      </c>
      <c r="J155" s="25">
        <v>5250</v>
      </c>
      <c r="K155" s="12">
        <v>84000</v>
      </c>
      <c r="L155" s="10"/>
      <c r="M155" s="10"/>
      <c r="N155" s="12">
        <v>84000</v>
      </c>
      <c r="O155" s="12">
        <v>3731.54</v>
      </c>
      <c r="P155" s="12">
        <v>59704.639999999999</v>
      </c>
      <c r="Q155" s="12">
        <v>24295.360000000001</v>
      </c>
      <c r="R155" s="11" t="s">
        <v>52</v>
      </c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x14ac:dyDescent="0.3">
      <c r="A156" s="8">
        <v>46051</v>
      </c>
      <c r="B156" s="8"/>
      <c r="C156" s="10"/>
      <c r="D156" s="11" t="s">
        <v>402</v>
      </c>
      <c r="E156" s="11" t="s">
        <v>351</v>
      </c>
      <c r="F156" s="10"/>
      <c r="G156" s="11" t="s">
        <v>182</v>
      </c>
      <c r="H156" s="11">
        <v>1</v>
      </c>
      <c r="I156" s="11" t="s">
        <v>183</v>
      </c>
      <c r="J156" s="25">
        <v>8629.68</v>
      </c>
      <c r="K156" s="12">
        <v>8629.68</v>
      </c>
      <c r="L156" s="10"/>
      <c r="M156" s="10"/>
      <c r="N156" s="12">
        <v>8629.68</v>
      </c>
      <c r="O156" s="11" t="s">
        <v>80</v>
      </c>
      <c r="P156" s="11" t="s">
        <v>80</v>
      </c>
      <c r="Q156" s="12">
        <v>8629.68</v>
      </c>
      <c r="R156" s="11" t="s">
        <v>52</v>
      </c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hidden="1" x14ac:dyDescent="0.3">
      <c r="A157" s="8">
        <v>46051</v>
      </c>
      <c r="B157" s="8"/>
      <c r="C157" s="10"/>
      <c r="D157" s="11" t="s">
        <v>405</v>
      </c>
      <c r="E157" s="11" t="s">
        <v>406</v>
      </c>
      <c r="F157" s="10"/>
      <c r="G157" s="11" t="s">
        <v>879</v>
      </c>
      <c r="H157" s="11">
        <v>8</v>
      </c>
      <c r="I157" s="11" t="s">
        <v>268</v>
      </c>
      <c r="J157" s="25">
        <v>250</v>
      </c>
      <c r="K157" s="12">
        <v>2000</v>
      </c>
      <c r="L157" s="10"/>
      <c r="M157" s="10"/>
      <c r="N157" s="12">
        <v>2000</v>
      </c>
      <c r="O157" s="12">
        <v>102.22</v>
      </c>
      <c r="P157" s="12">
        <v>817.76</v>
      </c>
      <c r="Q157" s="12">
        <v>1182.24</v>
      </c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hidden="1" x14ac:dyDescent="0.3">
      <c r="A158" s="8">
        <v>46051</v>
      </c>
      <c r="B158" s="8"/>
      <c r="C158" s="10"/>
      <c r="D158" s="11" t="s">
        <v>405</v>
      </c>
      <c r="E158" s="11" t="s">
        <v>406</v>
      </c>
      <c r="F158" s="10"/>
      <c r="G158" s="11" t="s">
        <v>259</v>
      </c>
      <c r="H158" s="11">
        <v>1</v>
      </c>
      <c r="I158" s="11" t="s">
        <v>130</v>
      </c>
      <c r="J158" s="25">
        <v>300</v>
      </c>
      <c r="K158" s="12">
        <v>300</v>
      </c>
      <c r="L158" s="11">
        <v>298.8</v>
      </c>
      <c r="M158" s="11">
        <v>35.86</v>
      </c>
      <c r="N158" s="10"/>
      <c r="O158" s="12">
        <v>84.68</v>
      </c>
      <c r="P158" s="12">
        <v>84.68</v>
      </c>
      <c r="Q158" s="12">
        <v>215.32</v>
      </c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hidden="1" x14ac:dyDescent="0.3">
      <c r="A159" s="8">
        <v>46051</v>
      </c>
      <c r="B159" s="8"/>
      <c r="C159" s="10"/>
      <c r="D159" s="11" t="s">
        <v>405</v>
      </c>
      <c r="E159" s="11" t="s">
        <v>406</v>
      </c>
      <c r="F159" s="10"/>
      <c r="G159" s="11" t="s">
        <v>852</v>
      </c>
      <c r="H159" s="11">
        <v>1</v>
      </c>
      <c r="I159" s="11" t="s">
        <v>268</v>
      </c>
      <c r="J159" s="25" t="s">
        <v>80</v>
      </c>
      <c r="K159" s="11" t="s">
        <v>80</v>
      </c>
      <c r="L159" s="11" t="s">
        <v>189</v>
      </c>
      <c r="M159" s="11" t="s">
        <v>189</v>
      </c>
      <c r="N159" s="11" t="s">
        <v>80</v>
      </c>
      <c r="O159" s="12">
        <v>7.34</v>
      </c>
      <c r="P159" s="12">
        <v>7.34</v>
      </c>
      <c r="Q159" s="12">
        <v>-7.34</v>
      </c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hidden="1" x14ac:dyDescent="0.3">
      <c r="A160" s="8">
        <v>46051</v>
      </c>
      <c r="B160" s="8"/>
      <c r="C160" s="10"/>
      <c r="D160" s="10"/>
      <c r="E160" s="11" t="s">
        <v>117</v>
      </c>
      <c r="F160" s="10"/>
      <c r="G160" s="11" t="s">
        <v>877</v>
      </c>
      <c r="H160" s="11">
        <v>1</v>
      </c>
      <c r="I160" s="11" t="s">
        <v>100</v>
      </c>
      <c r="J160" s="25">
        <v>5500</v>
      </c>
      <c r="K160" s="12">
        <v>5500</v>
      </c>
      <c r="L160" s="10"/>
      <c r="M160" s="10"/>
      <c r="N160" s="12">
        <v>5500</v>
      </c>
      <c r="O160" s="12">
        <v>3655.8</v>
      </c>
      <c r="P160" s="12">
        <v>3655.8</v>
      </c>
      <c r="Q160" s="12">
        <v>1844.2</v>
      </c>
      <c r="R160" s="11" t="s">
        <v>52</v>
      </c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hidden="1" x14ac:dyDescent="0.3">
      <c r="A161" s="8">
        <v>46052</v>
      </c>
      <c r="B161" s="8"/>
      <c r="C161" s="10"/>
      <c r="D161" s="11" t="s">
        <v>407</v>
      </c>
      <c r="E161" s="11" t="s">
        <v>408</v>
      </c>
      <c r="F161" s="10"/>
      <c r="G161" s="11" t="s">
        <v>877</v>
      </c>
      <c r="H161" s="11">
        <v>10</v>
      </c>
      <c r="I161" s="11" t="s">
        <v>100</v>
      </c>
      <c r="J161" s="25">
        <v>5500</v>
      </c>
      <c r="K161" s="12">
        <v>55000</v>
      </c>
      <c r="L161" s="10"/>
      <c r="M161" s="10"/>
      <c r="N161" s="12">
        <v>55000</v>
      </c>
      <c r="O161" s="12">
        <v>3731.54</v>
      </c>
      <c r="P161" s="12">
        <v>37315.4</v>
      </c>
      <c r="Q161" s="12">
        <v>17684.599999999999</v>
      </c>
      <c r="R161" s="11" t="s">
        <v>52</v>
      </c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hidden="1" x14ac:dyDescent="0.3">
      <c r="A162" s="8">
        <v>46052</v>
      </c>
      <c r="B162" s="8"/>
      <c r="C162" s="10"/>
      <c r="D162" s="11" t="s">
        <v>71</v>
      </c>
      <c r="E162" s="11" t="s">
        <v>409</v>
      </c>
      <c r="F162" s="10"/>
      <c r="G162" s="11" t="s">
        <v>410</v>
      </c>
      <c r="H162" s="11">
        <v>1</v>
      </c>
      <c r="I162" s="11" t="s">
        <v>86</v>
      </c>
      <c r="J162" s="25">
        <v>3000</v>
      </c>
      <c r="K162" s="12">
        <v>3000</v>
      </c>
      <c r="L162" s="15">
        <v>2998.8</v>
      </c>
      <c r="M162" s="11">
        <v>359.86</v>
      </c>
      <c r="N162" s="11" t="s">
        <v>80</v>
      </c>
      <c r="O162" s="12">
        <v>314.48</v>
      </c>
      <c r="P162" s="12">
        <v>314.48</v>
      </c>
      <c r="Q162" s="12">
        <v>2685.52</v>
      </c>
      <c r="R162" s="11" t="s">
        <v>52</v>
      </c>
      <c r="S162" s="10"/>
      <c r="T162" s="10"/>
      <c r="U162" s="11" t="s">
        <v>71</v>
      </c>
      <c r="V162" s="11" t="s">
        <v>411</v>
      </c>
      <c r="W162" s="11" t="s">
        <v>412</v>
      </c>
      <c r="X162" s="10"/>
      <c r="Y162" s="10"/>
      <c r="Z162" s="10"/>
      <c r="AA162" s="10"/>
    </row>
    <row r="163" spans="1:27" hidden="1" x14ac:dyDescent="0.3">
      <c r="A163" s="8">
        <v>46052</v>
      </c>
      <c r="B163" s="8"/>
      <c r="C163" s="10"/>
      <c r="D163" s="11" t="s">
        <v>71</v>
      </c>
      <c r="E163" s="11" t="s">
        <v>409</v>
      </c>
      <c r="F163" s="10"/>
      <c r="G163" s="11" t="s">
        <v>85</v>
      </c>
      <c r="H163" s="11">
        <v>1</v>
      </c>
      <c r="I163" s="11" t="s">
        <v>86</v>
      </c>
      <c r="J163" s="25">
        <v>500</v>
      </c>
      <c r="K163" s="12">
        <v>500</v>
      </c>
      <c r="L163" s="11">
        <v>498.8</v>
      </c>
      <c r="M163" s="11">
        <v>59.86</v>
      </c>
      <c r="N163" s="11" t="s">
        <v>80</v>
      </c>
      <c r="O163" s="12">
        <v>218.56</v>
      </c>
      <c r="P163" s="12">
        <v>218.56</v>
      </c>
      <c r="Q163" s="12">
        <v>281.44</v>
      </c>
      <c r="R163" s="11" t="s">
        <v>52</v>
      </c>
      <c r="S163" s="10"/>
      <c r="T163" s="10"/>
      <c r="U163" s="11" t="s">
        <v>71</v>
      </c>
      <c r="V163" s="11" t="s">
        <v>411</v>
      </c>
      <c r="W163" s="11" t="s">
        <v>412</v>
      </c>
      <c r="X163" s="10"/>
      <c r="Y163" s="10"/>
      <c r="Z163" s="10"/>
      <c r="AA163" s="10"/>
    </row>
    <row r="164" spans="1:27" hidden="1" x14ac:dyDescent="0.3">
      <c r="A164" s="8">
        <v>46052</v>
      </c>
      <c r="B164" s="8"/>
      <c r="C164" s="10"/>
      <c r="D164" s="11" t="s">
        <v>71</v>
      </c>
      <c r="E164" s="11" t="s">
        <v>409</v>
      </c>
      <c r="F164" s="10"/>
      <c r="G164" t="s">
        <v>567</v>
      </c>
      <c r="H164" s="11">
        <v>1</v>
      </c>
      <c r="I164" s="11" t="s">
        <v>86</v>
      </c>
      <c r="J164" s="25">
        <v>1000</v>
      </c>
      <c r="K164" s="12">
        <v>1000</v>
      </c>
      <c r="L164" s="11">
        <v>998.8</v>
      </c>
      <c r="M164" s="11">
        <v>119.86</v>
      </c>
      <c r="N164" s="11" t="s">
        <v>80</v>
      </c>
      <c r="O164" s="12">
        <v>649.47</v>
      </c>
      <c r="P164" s="12">
        <v>649.47</v>
      </c>
      <c r="Q164" s="12">
        <v>350.53</v>
      </c>
      <c r="R164" s="11" t="s">
        <v>52</v>
      </c>
      <c r="S164" s="10"/>
      <c r="T164" s="10"/>
      <c r="U164" s="11" t="s">
        <v>71</v>
      </c>
      <c r="V164" s="11" t="s">
        <v>411</v>
      </c>
      <c r="W164" s="11" t="s">
        <v>412</v>
      </c>
      <c r="X164" s="10"/>
      <c r="Y164" s="10"/>
      <c r="Z164" s="10"/>
      <c r="AA164" s="10"/>
    </row>
    <row r="165" spans="1:27" hidden="1" x14ac:dyDescent="0.3">
      <c r="A165" s="8">
        <v>46052</v>
      </c>
      <c r="B165" s="8"/>
      <c r="C165" s="10"/>
      <c r="D165" s="11" t="s">
        <v>71</v>
      </c>
      <c r="E165" s="11" t="s">
        <v>409</v>
      </c>
      <c r="F165" s="10"/>
      <c r="G165" s="11" t="s">
        <v>129</v>
      </c>
      <c r="H165" s="11">
        <v>4</v>
      </c>
      <c r="I165" s="11" t="s">
        <v>86</v>
      </c>
      <c r="J165" s="25">
        <v>62.5</v>
      </c>
      <c r="K165" s="12">
        <v>250</v>
      </c>
      <c r="L165" s="11">
        <v>248.8</v>
      </c>
      <c r="M165" s="11">
        <v>29.86</v>
      </c>
      <c r="N165" s="11" t="s">
        <v>80</v>
      </c>
      <c r="O165" s="12">
        <v>20.97</v>
      </c>
      <c r="P165" s="12">
        <v>83.88</v>
      </c>
      <c r="Q165" s="12">
        <v>166.12</v>
      </c>
      <c r="R165" s="11" t="s">
        <v>52</v>
      </c>
      <c r="S165" s="10"/>
      <c r="T165" s="10"/>
      <c r="U165" s="11" t="s">
        <v>71</v>
      </c>
      <c r="V165" s="11" t="s">
        <v>411</v>
      </c>
      <c r="W165" s="11" t="s">
        <v>412</v>
      </c>
      <c r="X165" s="10"/>
      <c r="Y165" s="10"/>
      <c r="Z165" s="10"/>
      <c r="AA165" s="10"/>
    </row>
    <row r="166" spans="1:27" hidden="1" x14ac:dyDescent="0.3">
      <c r="A166" s="8">
        <v>46052</v>
      </c>
      <c r="B166" s="8"/>
      <c r="C166" s="10"/>
      <c r="D166" s="11" t="s">
        <v>71</v>
      </c>
      <c r="E166" s="11" t="s">
        <v>409</v>
      </c>
      <c r="F166" s="10"/>
      <c r="G166" s="11" t="s">
        <v>577</v>
      </c>
      <c r="H166" s="11">
        <v>1</v>
      </c>
      <c r="I166" s="11" t="s">
        <v>86</v>
      </c>
      <c r="J166" s="25">
        <v>1800</v>
      </c>
      <c r="K166" s="12">
        <v>1800</v>
      </c>
      <c r="L166" s="15">
        <v>1798.8</v>
      </c>
      <c r="M166" s="11">
        <v>215.86</v>
      </c>
      <c r="N166" s="10"/>
      <c r="O166" s="12">
        <v>474.63</v>
      </c>
      <c r="P166" s="12">
        <v>474.63</v>
      </c>
      <c r="Q166" s="12">
        <v>1325.37</v>
      </c>
      <c r="R166" s="11" t="s">
        <v>52</v>
      </c>
      <c r="S166" s="10"/>
      <c r="T166" s="10"/>
      <c r="U166" s="11" t="s">
        <v>71</v>
      </c>
      <c r="V166" s="11" t="s">
        <v>411</v>
      </c>
      <c r="W166" s="11" t="s">
        <v>412</v>
      </c>
      <c r="X166" s="10"/>
      <c r="Y166" s="10"/>
      <c r="Z166" s="10"/>
      <c r="AA166" s="10"/>
    </row>
    <row r="167" spans="1:27" hidden="1" x14ac:dyDescent="0.3">
      <c r="A167" s="8">
        <v>46052</v>
      </c>
      <c r="B167" s="8"/>
      <c r="C167" s="10"/>
      <c r="D167" s="11" t="s">
        <v>71</v>
      </c>
      <c r="E167" s="11" t="s">
        <v>409</v>
      </c>
      <c r="F167" s="10"/>
      <c r="G167" s="11" t="s">
        <v>148</v>
      </c>
      <c r="H167" s="11">
        <v>3</v>
      </c>
      <c r="I167" s="11" t="s">
        <v>149</v>
      </c>
      <c r="J167" s="25">
        <v>300</v>
      </c>
      <c r="K167" s="12">
        <v>900</v>
      </c>
      <c r="L167" s="11">
        <v>898.8</v>
      </c>
      <c r="M167" s="11">
        <v>107.86</v>
      </c>
      <c r="N167" s="10"/>
      <c r="O167" s="12">
        <v>119.01</v>
      </c>
      <c r="P167" s="12">
        <v>357.03</v>
      </c>
      <c r="Q167" s="12">
        <v>542.97</v>
      </c>
      <c r="R167" s="11" t="s">
        <v>52</v>
      </c>
      <c r="S167" s="10"/>
      <c r="T167" s="10"/>
      <c r="U167" s="11" t="s">
        <v>71</v>
      </c>
      <c r="V167" s="11" t="s">
        <v>411</v>
      </c>
      <c r="W167" s="11" t="s">
        <v>412</v>
      </c>
      <c r="X167" s="10"/>
      <c r="Y167" s="10"/>
      <c r="Z167" s="10"/>
      <c r="AA167" s="10"/>
    </row>
    <row r="168" spans="1:27" hidden="1" x14ac:dyDescent="0.3">
      <c r="A168" s="8">
        <v>46052</v>
      </c>
      <c r="B168" s="8"/>
      <c r="C168" s="10"/>
      <c r="D168" s="11" t="s">
        <v>71</v>
      </c>
      <c r="E168" s="11" t="s">
        <v>409</v>
      </c>
      <c r="F168" s="10"/>
      <c r="G168" s="11" t="s">
        <v>368</v>
      </c>
      <c r="H168" s="11">
        <v>3</v>
      </c>
      <c r="I168" s="11" t="s">
        <v>149</v>
      </c>
      <c r="J168" s="25">
        <v>300</v>
      </c>
      <c r="K168" s="12">
        <v>900</v>
      </c>
      <c r="L168" s="11">
        <v>898.8</v>
      </c>
      <c r="M168" s="11">
        <v>107.86</v>
      </c>
      <c r="N168" s="10"/>
      <c r="O168" s="12">
        <v>55.01</v>
      </c>
      <c r="P168" s="12">
        <v>165.03</v>
      </c>
      <c r="Q168" s="12">
        <v>734.97</v>
      </c>
      <c r="R168" s="11" t="s">
        <v>52</v>
      </c>
      <c r="S168" s="10"/>
      <c r="T168" s="10"/>
      <c r="U168" s="11" t="s">
        <v>71</v>
      </c>
      <c r="V168" s="11" t="s">
        <v>411</v>
      </c>
      <c r="W168" s="11" t="s">
        <v>412</v>
      </c>
      <c r="X168" s="10"/>
      <c r="Y168" s="10"/>
      <c r="Z168" s="10"/>
      <c r="AA168" s="10"/>
    </row>
    <row r="169" spans="1:27" hidden="1" x14ac:dyDescent="0.3">
      <c r="A169" s="8">
        <v>46052</v>
      </c>
      <c r="B169" s="8"/>
      <c r="C169" s="10"/>
      <c r="D169" s="11" t="s">
        <v>71</v>
      </c>
      <c r="E169" s="11" t="s">
        <v>413</v>
      </c>
      <c r="F169" s="10"/>
      <c r="G169" s="11" t="s">
        <v>877</v>
      </c>
      <c r="H169" s="11">
        <v>1</v>
      </c>
      <c r="I169" s="11" t="s">
        <v>100</v>
      </c>
      <c r="J169" s="25">
        <v>6100</v>
      </c>
      <c r="K169" s="12">
        <v>6100</v>
      </c>
      <c r="L169" s="10"/>
      <c r="M169" s="10"/>
      <c r="N169" s="12">
        <v>6100</v>
      </c>
      <c r="O169" s="12">
        <v>3731.54</v>
      </c>
      <c r="P169" s="12">
        <v>3731.54</v>
      </c>
      <c r="Q169" s="12">
        <v>2368.46</v>
      </c>
      <c r="R169" s="11" t="s">
        <v>52</v>
      </c>
      <c r="S169" s="10"/>
      <c r="T169" s="10"/>
      <c r="U169" s="11" t="s">
        <v>71</v>
      </c>
      <c r="V169" s="11" t="s">
        <v>414</v>
      </c>
      <c r="W169" s="11" t="s">
        <v>415</v>
      </c>
      <c r="X169" s="10"/>
      <c r="Y169" s="10"/>
      <c r="Z169" s="10"/>
      <c r="AA169" s="10"/>
    </row>
    <row r="170" spans="1:27" hidden="1" x14ac:dyDescent="0.3">
      <c r="A170" s="8">
        <v>46052</v>
      </c>
      <c r="B170" s="8"/>
      <c r="C170" s="10"/>
      <c r="D170" s="11" t="s">
        <v>416</v>
      </c>
      <c r="E170" s="11" t="s">
        <v>210</v>
      </c>
      <c r="F170" s="10"/>
      <c r="G170" s="11" t="s">
        <v>877</v>
      </c>
      <c r="H170" s="11">
        <v>5</v>
      </c>
      <c r="I170" s="11" t="s">
        <v>100</v>
      </c>
      <c r="J170" s="25">
        <v>5500</v>
      </c>
      <c r="K170" s="12">
        <v>27500</v>
      </c>
      <c r="L170" s="10"/>
      <c r="M170" s="10"/>
      <c r="N170" s="12">
        <v>27500</v>
      </c>
      <c r="O170" s="12">
        <v>3731.54</v>
      </c>
      <c r="P170" s="12">
        <v>18657.7</v>
      </c>
      <c r="Q170" s="12">
        <v>8842.2999999999993</v>
      </c>
      <c r="R170" s="11" t="s">
        <v>52</v>
      </c>
      <c r="S170" s="10"/>
      <c r="T170" s="10"/>
      <c r="U170" s="11" t="s">
        <v>147</v>
      </c>
      <c r="V170" s="10"/>
      <c r="W170" s="10"/>
      <c r="X170" s="10"/>
      <c r="Y170" s="10"/>
      <c r="Z170" s="10"/>
      <c r="AA170" s="10"/>
    </row>
    <row r="171" spans="1:27" hidden="1" x14ac:dyDescent="0.3">
      <c r="A171" s="8">
        <v>46052</v>
      </c>
      <c r="B171" s="8"/>
      <c r="C171" s="10"/>
      <c r="D171" s="11" t="s">
        <v>416</v>
      </c>
      <c r="E171" s="11" t="s">
        <v>210</v>
      </c>
      <c r="F171" s="10"/>
      <c r="G171" s="11" t="s">
        <v>129</v>
      </c>
      <c r="H171" s="11">
        <v>32</v>
      </c>
      <c r="I171" s="11" t="s">
        <v>130</v>
      </c>
      <c r="J171" s="25">
        <v>60</v>
      </c>
      <c r="K171" s="12">
        <v>1920</v>
      </c>
      <c r="L171" s="10"/>
      <c r="M171" s="10"/>
      <c r="N171" s="10"/>
      <c r="O171" s="12">
        <v>20.97</v>
      </c>
      <c r="P171" s="12">
        <v>670.92</v>
      </c>
      <c r="Q171" s="12">
        <v>1249.08</v>
      </c>
      <c r="R171" s="11" t="s">
        <v>51</v>
      </c>
      <c r="S171" s="10"/>
      <c r="T171" s="10"/>
      <c r="U171" s="11" t="s">
        <v>147</v>
      </c>
      <c r="V171" s="10"/>
      <c r="W171" s="10"/>
      <c r="X171" s="10"/>
      <c r="Y171" s="10"/>
      <c r="Z171" s="10"/>
      <c r="AA171" s="10"/>
    </row>
    <row r="172" spans="1:27" hidden="1" x14ac:dyDescent="0.3">
      <c r="A172" s="8">
        <v>46052</v>
      </c>
      <c r="B172" s="8"/>
      <c r="C172" s="10"/>
      <c r="D172" s="10"/>
      <c r="E172" s="11" t="s">
        <v>288</v>
      </c>
      <c r="F172" s="10"/>
      <c r="G172" s="11" t="s">
        <v>877</v>
      </c>
      <c r="H172" s="11">
        <v>100</v>
      </c>
      <c r="I172" s="11" t="s">
        <v>100</v>
      </c>
      <c r="J172" s="25">
        <v>4750</v>
      </c>
      <c r="K172" s="12">
        <v>475000</v>
      </c>
      <c r="L172" s="10"/>
      <c r="M172" s="10"/>
      <c r="N172" s="12">
        <v>475000</v>
      </c>
      <c r="O172" s="12">
        <v>3731.54</v>
      </c>
      <c r="P172" s="12">
        <v>373154</v>
      </c>
      <c r="Q172" s="12">
        <v>101846</v>
      </c>
      <c r="R172" s="11" t="s">
        <v>52</v>
      </c>
      <c r="S172" s="10"/>
      <c r="T172" s="10"/>
      <c r="U172" s="11" t="s">
        <v>147</v>
      </c>
      <c r="V172" s="10"/>
      <c r="W172" s="10"/>
      <c r="X172" s="10"/>
      <c r="Y172" s="10"/>
      <c r="Z172" s="10"/>
      <c r="AA172" s="10"/>
    </row>
    <row r="173" spans="1:27" hidden="1" x14ac:dyDescent="0.3">
      <c r="A173" s="8">
        <v>46052</v>
      </c>
      <c r="B173" s="8"/>
      <c r="C173" s="10"/>
      <c r="D173" s="11" t="s">
        <v>417</v>
      </c>
      <c r="E173" s="11" t="s">
        <v>418</v>
      </c>
      <c r="F173" s="10"/>
      <c r="G173" s="11" t="s">
        <v>877</v>
      </c>
      <c r="H173" s="11">
        <v>1</v>
      </c>
      <c r="I173" s="11" t="s">
        <v>100</v>
      </c>
      <c r="J173" s="25">
        <v>5500</v>
      </c>
      <c r="K173" s="12">
        <v>5500</v>
      </c>
      <c r="L173" s="10"/>
      <c r="M173" s="10"/>
      <c r="N173" s="12">
        <v>5500</v>
      </c>
      <c r="O173" s="12">
        <v>3731.54</v>
      </c>
      <c r="P173" s="12">
        <v>3731.54</v>
      </c>
      <c r="Q173" s="12">
        <v>1768.46</v>
      </c>
      <c r="R173" s="10"/>
      <c r="S173" s="10"/>
      <c r="T173" s="10"/>
      <c r="U173" s="11" t="s">
        <v>89</v>
      </c>
      <c r="V173" s="10"/>
      <c r="W173" s="10"/>
      <c r="X173" s="10"/>
      <c r="Y173" s="10"/>
      <c r="Z173" s="10"/>
      <c r="AA173" s="10"/>
    </row>
    <row r="174" spans="1:27" hidden="1" x14ac:dyDescent="0.3">
      <c r="A174" s="8">
        <v>46052</v>
      </c>
      <c r="B174" s="8"/>
      <c r="C174" s="10"/>
      <c r="D174" s="11" t="s">
        <v>89</v>
      </c>
      <c r="E174" s="11" t="s">
        <v>419</v>
      </c>
      <c r="F174" s="10"/>
      <c r="G174" s="11" t="s">
        <v>111</v>
      </c>
      <c r="H174" s="11">
        <v>1</v>
      </c>
      <c r="I174" s="11" t="s">
        <v>74</v>
      </c>
      <c r="J174" s="25">
        <v>1249</v>
      </c>
      <c r="K174" s="12">
        <v>1249</v>
      </c>
      <c r="L174" s="15">
        <v>1247.8</v>
      </c>
      <c r="M174" s="11">
        <v>149.74</v>
      </c>
      <c r="N174" s="10"/>
      <c r="O174" s="12">
        <v>870</v>
      </c>
      <c r="P174" s="12">
        <v>870</v>
      </c>
      <c r="Q174" s="12">
        <v>379</v>
      </c>
      <c r="R174" s="11" t="s">
        <v>52</v>
      </c>
      <c r="S174" s="10"/>
      <c r="T174" s="10"/>
      <c r="U174" s="11" t="s">
        <v>89</v>
      </c>
      <c r="V174" s="10"/>
      <c r="W174" s="10"/>
      <c r="X174" s="10"/>
      <c r="Y174" s="10"/>
      <c r="Z174" s="10"/>
      <c r="AA174" s="10"/>
    </row>
    <row r="175" spans="1:27" hidden="1" x14ac:dyDescent="0.3">
      <c r="A175" s="8">
        <v>46053</v>
      </c>
      <c r="B175" s="8"/>
      <c r="C175" s="10"/>
      <c r="D175" s="11" t="s">
        <v>420</v>
      </c>
      <c r="E175" s="11" t="s">
        <v>50</v>
      </c>
      <c r="F175" s="10"/>
      <c r="G175" s="11" t="s">
        <v>878</v>
      </c>
      <c r="H175" s="11">
        <v>128</v>
      </c>
      <c r="I175" s="11" t="s">
        <v>77</v>
      </c>
      <c r="J175" s="25">
        <v>234.38</v>
      </c>
      <c r="K175" s="12">
        <v>30000</v>
      </c>
      <c r="L175" s="10"/>
      <c r="M175" s="10"/>
      <c r="N175" s="12">
        <v>30000</v>
      </c>
      <c r="O175" s="12">
        <v>178.37</v>
      </c>
      <c r="P175" s="12">
        <v>22830.92</v>
      </c>
      <c r="Q175" s="12">
        <v>7169.08</v>
      </c>
      <c r="R175" s="10"/>
      <c r="S175" s="10"/>
      <c r="T175" s="10"/>
      <c r="U175" s="11" t="s">
        <v>147</v>
      </c>
      <c r="V175" s="10"/>
      <c r="W175" s="10"/>
      <c r="X175" s="10"/>
      <c r="Y175" s="10"/>
      <c r="Z175" s="10"/>
      <c r="AA175" s="10"/>
    </row>
    <row r="176" spans="1:27" hidden="1" x14ac:dyDescent="0.3">
      <c r="A176" s="8">
        <v>46053</v>
      </c>
      <c r="B176" s="8"/>
      <c r="C176" s="10"/>
      <c r="D176" s="11" t="s">
        <v>421</v>
      </c>
      <c r="E176" s="11" t="s">
        <v>146</v>
      </c>
      <c r="F176" s="10"/>
      <c r="G176" s="11" t="s">
        <v>877</v>
      </c>
      <c r="H176" s="11">
        <v>5</v>
      </c>
      <c r="I176" s="11" t="s">
        <v>100</v>
      </c>
      <c r="J176" s="25">
        <v>5250</v>
      </c>
      <c r="K176" s="12">
        <v>26250</v>
      </c>
      <c r="L176" s="10"/>
      <c r="M176" s="10"/>
      <c r="N176" s="12">
        <v>26250</v>
      </c>
      <c r="O176" s="12">
        <v>3731.54</v>
      </c>
      <c r="P176" s="12">
        <v>18657.7</v>
      </c>
      <c r="Q176" s="12">
        <v>7592.3</v>
      </c>
      <c r="R176" s="10"/>
      <c r="S176" s="10"/>
      <c r="T176" s="10"/>
      <c r="U176" s="11" t="s">
        <v>147</v>
      </c>
      <c r="V176" s="10"/>
      <c r="W176" s="10"/>
      <c r="X176" s="10"/>
      <c r="Y176" s="10"/>
      <c r="Z176" s="10"/>
      <c r="AA176" s="10"/>
    </row>
    <row r="177" spans="1:27" hidden="1" x14ac:dyDescent="0.3">
      <c r="A177" s="8">
        <v>46053</v>
      </c>
      <c r="B177" s="8"/>
      <c r="C177" s="10"/>
      <c r="D177" s="11" t="s">
        <v>422</v>
      </c>
      <c r="E177" s="11" t="s">
        <v>178</v>
      </c>
      <c r="F177" s="10"/>
      <c r="G177" s="11" t="s">
        <v>877</v>
      </c>
      <c r="H177" s="11">
        <v>1</v>
      </c>
      <c r="I177" s="11" t="s">
        <v>100</v>
      </c>
      <c r="J177" s="25">
        <v>5250</v>
      </c>
      <c r="K177" s="12">
        <v>5250</v>
      </c>
      <c r="L177" s="10"/>
      <c r="M177" s="10"/>
      <c r="N177" s="12">
        <v>5250</v>
      </c>
      <c r="O177" s="12">
        <v>3731.54</v>
      </c>
      <c r="P177" s="12">
        <v>3731.54</v>
      </c>
      <c r="Q177" s="12">
        <v>1518.46</v>
      </c>
      <c r="R177" s="10"/>
      <c r="S177" s="10"/>
      <c r="T177" s="10"/>
      <c r="U177" s="11" t="s">
        <v>147</v>
      </c>
      <c r="V177" s="10"/>
      <c r="W177" s="10"/>
      <c r="X177" s="10"/>
      <c r="Y177" s="10"/>
      <c r="Z177" s="10"/>
      <c r="AA177" s="10"/>
    </row>
    <row r="178" spans="1:27" hidden="1" x14ac:dyDescent="0.3">
      <c r="A178" s="8">
        <v>46053</v>
      </c>
      <c r="B178" s="8"/>
      <c r="C178" s="10"/>
      <c r="D178" s="11" t="s">
        <v>71</v>
      </c>
      <c r="E178" s="11" t="s">
        <v>423</v>
      </c>
      <c r="F178" s="10"/>
      <c r="G178" s="11" t="s">
        <v>370</v>
      </c>
      <c r="H178" s="11">
        <v>4</v>
      </c>
      <c r="I178" s="11" t="s">
        <v>74</v>
      </c>
      <c r="J178" s="25">
        <v>1310</v>
      </c>
      <c r="K178" s="12">
        <v>5240</v>
      </c>
      <c r="L178" s="15">
        <v>5238.8</v>
      </c>
      <c r="M178" s="11">
        <v>628.66</v>
      </c>
      <c r="N178" s="10"/>
      <c r="O178" s="12">
        <v>880</v>
      </c>
      <c r="P178" s="12">
        <v>3520</v>
      </c>
      <c r="Q178" s="12">
        <v>1720</v>
      </c>
      <c r="R178" s="11" t="s">
        <v>52</v>
      </c>
      <c r="S178" s="10"/>
      <c r="T178" s="10"/>
      <c r="U178" s="11" t="s">
        <v>71</v>
      </c>
      <c r="V178" s="11" t="s">
        <v>424</v>
      </c>
      <c r="W178" s="11" t="s">
        <v>425</v>
      </c>
      <c r="X178" s="10"/>
      <c r="Y178" s="10"/>
      <c r="Z178" s="10"/>
      <c r="AA178" s="10"/>
    </row>
    <row r="179" spans="1:27" hidden="1" x14ac:dyDescent="0.3">
      <c r="A179" s="8">
        <v>46053</v>
      </c>
      <c r="B179" s="8"/>
      <c r="C179" s="10"/>
      <c r="D179" s="11" t="s">
        <v>71</v>
      </c>
      <c r="E179" s="11" t="s">
        <v>423</v>
      </c>
      <c r="F179" s="10"/>
      <c r="G179" s="11" t="s">
        <v>111</v>
      </c>
      <c r="H179" s="11">
        <v>1</v>
      </c>
      <c r="I179" s="11" t="s">
        <v>74</v>
      </c>
      <c r="J179" s="25">
        <v>1249</v>
      </c>
      <c r="K179" s="12">
        <v>1249</v>
      </c>
      <c r="L179" s="15">
        <v>1247.8</v>
      </c>
      <c r="M179" s="11">
        <v>149.74</v>
      </c>
      <c r="N179" s="10"/>
      <c r="O179" s="12">
        <v>870</v>
      </c>
      <c r="P179" s="12">
        <v>870</v>
      </c>
      <c r="Q179" s="12">
        <v>379</v>
      </c>
      <c r="R179" s="11" t="s">
        <v>52</v>
      </c>
      <c r="S179" s="10"/>
      <c r="T179" s="10"/>
      <c r="U179" s="11" t="s">
        <v>71</v>
      </c>
      <c r="V179" s="11" t="s">
        <v>424</v>
      </c>
      <c r="W179" s="11" t="s">
        <v>425</v>
      </c>
      <c r="X179" s="10"/>
      <c r="Y179" s="10"/>
      <c r="Z179" s="10"/>
      <c r="AA179" s="10"/>
    </row>
    <row r="180" spans="1:27" hidden="1" x14ac:dyDescent="0.3">
      <c r="A180" s="8">
        <v>46053</v>
      </c>
      <c r="B180" s="8"/>
      <c r="C180" s="10"/>
      <c r="D180" s="11" t="s">
        <v>71</v>
      </c>
      <c r="E180" s="11" t="s">
        <v>426</v>
      </c>
      <c r="F180" s="10"/>
      <c r="G180" s="11" t="s">
        <v>878</v>
      </c>
      <c r="H180" s="11">
        <v>1</v>
      </c>
      <c r="I180" s="11" t="s">
        <v>77</v>
      </c>
      <c r="J180" s="25">
        <v>350</v>
      </c>
      <c r="K180" s="12">
        <v>350</v>
      </c>
      <c r="L180" s="10"/>
      <c r="M180" s="10"/>
      <c r="N180" s="12">
        <v>350</v>
      </c>
      <c r="O180" s="12">
        <v>178.37</v>
      </c>
      <c r="P180" s="12">
        <v>178.37</v>
      </c>
      <c r="Q180" s="12">
        <v>171.63</v>
      </c>
      <c r="R180" s="11" t="s">
        <v>52</v>
      </c>
      <c r="S180" s="10"/>
      <c r="T180" s="10"/>
      <c r="U180" s="11" t="s">
        <v>71</v>
      </c>
      <c r="V180" s="11" t="s">
        <v>427</v>
      </c>
      <c r="W180" s="11" t="s">
        <v>428</v>
      </c>
      <c r="X180" s="10"/>
      <c r="Y180" s="10"/>
      <c r="Z180" s="10"/>
      <c r="AA180" s="10"/>
    </row>
    <row r="181" spans="1:27" hidden="1" x14ac:dyDescent="0.3">
      <c r="A181" s="8">
        <v>46053</v>
      </c>
      <c r="B181" s="8"/>
      <c r="C181" s="10"/>
      <c r="D181" s="11" t="s">
        <v>147</v>
      </c>
      <c r="E181" s="11" t="s">
        <v>284</v>
      </c>
      <c r="F181" s="10"/>
      <c r="G181" s="11" t="s">
        <v>877</v>
      </c>
      <c r="H181" s="11">
        <v>1</v>
      </c>
      <c r="I181" s="11" t="s">
        <v>100</v>
      </c>
      <c r="J181" s="25">
        <v>5500</v>
      </c>
      <c r="K181" s="12">
        <v>5500</v>
      </c>
      <c r="L181" s="10"/>
      <c r="M181" s="10"/>
      <c r="N181" s="12">
        <v>5500</v>
      </c>
      <c r="O181" s="12">
        <v>3731.54</v>
      </c>
      <c r="P181" s="12">
        <v>3731.54</v>
      </c>
      <c r="Q181" s="12">
        <v>1768.46</v>
      </c>
      <c r="R181" s="10"/>
      <c r="S181" s="10"/>
      <c r="T181" s="10"/>
      <c r="U181" s="11" t="s">
        <v>147</v>
      </c>
      <c r="V181" s="10"/>
      <c r="W181" s="10"/>
      <c r="X181" s="10"/>
      <c r="Y181" s="10"/>
      <c r="Z181" s="10"/>
      <c r="AA181" s="10"/>
    </row>
    <row r="182" spans="1:27" hidden="1" x14ac:dyDescent="0.3">
      <c r="A182" s="8">
        <v>46053</v>
      </c>
      <c r="B182" s="8"/>
      <c r="C182" s="10"/>
      <c r="D182" s="11" t="s">
        <v>71</v>
      </c>
      <c r="E182" s="11" t="s">
        <v>364</v>
      </c>
      <c r="F182" s="10"/>
      <c r="G182" t="s">
        <v>602</v>
      </c>
      <c r="H182" s="11">
        <v>2</v>
      </c>
      <c r="I182" s="11" t="s">
        <v>268</v>
      </c>
      <c r="J182" s="25">
        <v>750</v>
      </c>
      <c r="K182" s="12">
        <f>J182*H182</f>
        <v>1500</v>
      </c>
      <c r="L182" s="31">
        <f>K182/1.12</f>
        <v>1339.2857142857142</v>
      </c>
      <c r="M182" s="31">
        <f>L182*0.12</f>
        <v>160.71428571428569</v>
      </c>
      <c r="N182" s="12"/>
      <c r="O182" s="12">
        <v>56.43</v>
      </c>
      <c r="P182" s="12">
        <f>O182*H182</f>
        <v>112.86</v>
      </c>
      <c r="Q182" s="12">
        <f>K182-P182</f>
        <v>1387.14</v>
      </c>
      <c r="R182" s="10"/>
      <c r="S182" s="10"/>
      <c r="T182" s="10"/>
      <c r="U182" s="11"/>
      <c r="V182" s="10"/>
      <c r="W182" s="10"/>
      <c r="X182" s="10"/>
      <c r="Y182" s="10"/>
      <c r="Z182" s="10"/>
      <c r="AA182" s="10"/>
    </row>
    <row r="183" spans="1:27" hidden="1" x14ac:dyDescent="0.3">
      <c r="A183" s="8">
        <v>46053</v>
      </c>
      <c r="B183" s="8"/>
      <c r="C183" s="10"/>
      <c r="D183" s="11" t="s">
        <v>71</v>
      </c>
      <c r="E183" s="11" t="s">
        <v>364</v>
      </c>
      <c r="F183" s="10"/>
      <c r="G183" s="22" t="s">
        <v>865</v>
      </c>
      <c r="H183" s="11">
        <v>2</v>
      </c>
      <c r="I183" s="11" t="s">
        <v>268</v>
      </c>
      <c r="J183" s="25">
        <v>750</v>
      </c>
      <c r="K183" s="12">
        <v>1500</v>
      </c>
      <c r="L183" s="15">
        <f>K183/1.12</f>
        <v>1339.2857142857142</v>
      </c>
      <c r="M183" s="11">
        <f>L183*0.12</f>
        <v>160.71428571428569</v>
      </c>
      <c r="N183" s="10"/>
      <c r="O183" s="12">
        <v>82.65</v>
      </c>
      <c r="P183" s="12">
        <f>O183*H183</f>
        <v>165.3</v>
      </c>
      <c r="Q183" s="12">
        <f>K183-P183</f>
        <v>1334.7</v>
      </c>
      <c r="R183" s="11" t="s">
        <v>52</v>
      </c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hidden="1" x14ac:dyDescent="0.3">
      <c r="A184" s="8">
        <v>46053</v>
      </c>
      <c r="B184" s="8"/>
      <c r="C184" s="10"/>
      <c r="D184" s="11" t="s">
        <v>147</v>
      </c>
      <c r="E184" s="11" t="s">
        <v>429</v>
      </c>
      <c r="F184" s="10"/>
      <c r="G184" s="11" t="s">
        <v>877</v>
      </c>
      <c r="H184" s="11">
        <v>2</v>
      </c>
      <c r="I184" s="11" t="s">
        <v>100</v>
      </c>
      <c r="J184" s="25">
        <v>5500</v>
      </c>
      <c r="K184" s="12">
        <v>11000</v>
      </c>
      <c r="L184" s="10"/>
      <c r="M184" s="10"/>
      <c r="N184" s="12">
        <v>11000</v>
      </c>
      <c r="O184" s="12">
        <v>3731.54</v>
      </c>
      <c r="P184" s="12">
        <v>7463.08</v>
      </c>
      <c r="Q184" s="12">
        <v>3536.92</v>
      </c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hidden="1" x14ac:dyDescent="0.3">
      <c r="L185" t="s">
        <v>58</v>
      </c>
      <c r="N185" t="s">
        <v>882</v>
      </c>
    </row>
    <row r="186" spans="1:27" hidden="1" x14ac:dyDescent="0.3">
      <c r="L186">
        <f>SUM(L2:L184)</f>
        <v>315649.30142857111</v>
      </c>
      <c r="N186">
        <f>SUM(N2:N184)</f>
        <v>1941432.48</v>
      </c>
      <c r="P186" s="55">
        <f>SUM(P2:P184)</f>
        <v>1576352.0200000007</v>
      </c>
    </row>
    <row r="187" spans="1:27" hidden="1" x14ac:dyDescent="0.3">
      <c r="J187">
        <f>L186+N186</f>
        <v>2257081.7814285709</v>
      </c>
    </row>
  </sheetData>
  <autoFilter ref="A1:AA187" xr:uid="{227A76A5-0D02-6F47-A831-12FB6501A393}">
    <filterColumn colId="6">
      <filters>
        <filter val="SHIPPING FEE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240"/>
  <sheetViews>
    <sheetView topLeftCell="AO1" workbookViewId="0">
      <selection activeCell="D244" sqref="D244"/>
    </sheetView>
  </sheetViews>
  <sheetFormatPr defaultColWidth="8.77734375" defaultRowHeight="14.4" x14ac:dyDescent="0.3"/>
  <cols>
    <col min="1" max="1" width="15" customWidth="1"/>
    <col min="2" max="4" width="20" customWidth="1"/>
    <col min="5" max="5" width="30" customWidth="1"/>
    <col min="6" max="6" width="15" customWidth="1"/>
    <col min="7" max="7" width="20" customWidth="1"/>
    <col min="8" max="11" width="15" customWidth="1"/>
    <col min="12" max="12" width="20" customWidth="1"/>
  </cols>
  <sheetData>
    <row r="1" spans="1:12" x14ac:dyDescent="0.3">
      <c r="A1" t="s">
        <v>26</v>
      </c>
      <c r="B1" t="s">
        <v>54</v>
      </c>
      <c r="C1" t="s">
        <v>55</v>
      </c>
      <c r="D1" t="s">
        <v>56</v>
      </c>
      <c r="E1" t="s">
        <v>31</v>
      </c>
      <c r="F1" t="s">
        <v>27</v>
      </c>
      <c r="G1" t="s">
        <v>57</v>
      </c>
      <c r="H1" t="s">
        <v>36</v>
      </c>
      <c r="I1" t="s">
        <v>58</v>
      </c>
      <c r="J1" t="s">
        <v>37</v>
      </c>
      <c r="K1" t="s">
        <v>59</v>
      </c>
      <c r="L1" t="s">
        <v>44</v>
      </c>
    </row>
    <row r="2" spans="1:12" hidden="1" x14ac:dyDescent="0.3">
      <c r="A2" s="16">
        <v>46027</v>
      </c>
      <c r="B2" s="18"/>
      <c r="C2" s="18" t="s">
        <v>464</v>
      </c>
      <c r="D2" s="18" t="s">
        <v>430</v>
      </c>
      <c r="E2" s="18" t="s">
        <v>480</v>
      </c>
      <c r="F2" s="18" t="s">
        <v>487</v>
      </c>
      <c r="G2" t="s">
        <v>610</v>
      </c>
      <c r="H2" s="18">
        <v>457</v>
      </c>
      <c r="I2" s="18">
        <v>408.04</v>
      </c>
      <c r="J2" s="18">
        <v>48.96</v>
      </c>
      <c r="K2" t="s">
        <v>619</v>
      </c>
    </row>
    <row r="3" spans="1:12" hidden="1" x14ac:dyDescent="0.3">
      <c r="A3" s="16">
        <v>46028</v>
      </c>
      <c r="B3" s="18"/>
      <c r="C3" s="18" t="s">
        <v>465</v>
      </c>
      <c r="D3" s="18" t="s">
        <v>431</v>
      </c>
      <c r="E3" s="18" t="s">
        <v>480</v>
      </c>
      <c r="F3" s="10"/>
      <c r="G3" t="s">
        <v>611</v>
      </c>
      <c r="H3" s="20">
        <v>3022.76</v>
      </c>
      <c r="I3" s="20">
        <v>2698.89</v>
      </c>
      <c r="J3" s="18">
        <v>323.87</v>
      </c>
      <c r="K3" t="s">
        <v>619</v>
      </c>
    </row>
    <row r="4" spans="1:12" hidden="1" x14ac:dyDescent="0.3">
      <c r="A4" s="16">
        <v>46032</v>
      </c>
      <c r="B4" s="18"/>
      <c r="C4" s="18" t="s">
        <v>466</v>
      </c>
      <c r="D4" s="18" t="s">
        <v>432</v>
      </c>
      <c r="E4" s="18" t="s">
        <v>480</v>
      </c>
      <c r="F4" s="18" t="s">
        <v>488</v>
      </c>
      <c r="G4" t="s">
        <v>612</v>
      </c>
      <c r="H4" s="18">
        <v>49</v>
      </c>
      <c r="I4" s="18">
        <v>43.75</v>
      </c>
      <c r="J4" s="18">
        <v>5.25</v>
      </c>
      <c r="K4" t="s">
        <v>619</v>
      </c>
    </row>
    <row r="5" spans="1:12" hidden="1" x14ac:dyDescent="0.3">
      <c r="A5" s="16">
        <v>46034</v>
      </c>
      <c r="B5" s="18"/>
      <c r="C5" s="10"/>
      <c r="D5" s="18" t="s">
        <v>89</v>
      </c>
      <c r="E5" s="10"/>
      <c r="F5" s="10"/>
      <c r="G5" t="s">
        <v>610</v>
      </c>
      <c r="H5" s="20">
        <v>24000</v>
      </c>
      <c r="I5" s="10"/>
      <c r="J5" s="10"/>
      <c r="K5" s="7" t="s">
        <v>618</v>
      </c>
    </row>
    <row r="6" spans="1:12" hidden="1" x14ac:dyDescent="0.3">
      <c r="A6" s="16">
        <v>46052</v>
      </c>
      <c r="B6" s="18"/>
      <c r="C6" s="18" t="s">
        <v>465</v>
      </c>
      <c r="D6" s="18" t="s">
        <v>431</v>
      </c>
      <c r="E6" s="18" t="s">
        <v>480</v>
      </c>
      <c r="F6" s="10"/>
      <c r="G6" s="18" t="s">
        <v>611</v>
      </c>
      <c r="H6" s="20">
        <v>1500</v>
      </c>
      <c r="I6" s="20">
        <v>1339.29</v>
      </c>
      <c r="J6" s="18">
        <v>160.71</v>
      </c>
      <c r="K6" t="s">
        <v>619</v>
      </c>
    </row>
    <row r="7" spans="1:12" hidden="1" x14ac:dyDescent="0.3">
      <c r="A7" s="16">
        <v>46024</v>
      </c>
      <c r="B7" s="18"/>
      <c r="C7" s="18" t="s">
        <v>467</v>
      </c>
      <c r="D7" s="18" t="s">
        <v>433</v>
      </c>
      <c r="E7" s="18" t="s">
        <v>481</v>
      </c>
      <c r="F7" s="18">
        <v>9148655</v>
      </c>
      <c r="G7" t="s">
        <v>613</v>
      </c>
      <c r="H7" s="18">
        <v>599</v>
      </c>
      <c r="I7" s="18">
        <v>534.82000000000005</v>
      </c>
      <c r="J7" s="18">
        <v>64.180000000000007</v>
      </c>
      <c r="K7" t="s">
        <v>619</v>
      </c>
    </row>
    <row r="8" spans="1:12" hidden="1" x14ac:dyDescent="0.3">
      <c r="A8" s="16">
        <v>46024</v>
      </c>
      <c r="B8" s="18"/>
      <c r="C8" s="18" t="s">
        <v>467</v>
      </c>
      <c r="D8" s="18" t="s">
        <v>433</v>
      </c>
      <c r="E8" s="18" t="s">
        <v>481</v>
      </c>
      <c r="F8" s="18">
        <v>9190104</v>
      </c>
      <c r="G8" t="s">
        <v>613</v>
      </c>
      <c r="H8" s="18">
        <v>999</v>
      </c>
      <c r="I8" s="18">
        <v>891.96</v>
      </c>
      <c r="J8" s="18">
        <v>107.04</v>
      </c>
      <c r="K8" t="s">
        <v>619</v>
      </c>
    </row>
    <row r="9" spans="1:12" hidden="1" x14ac:dyDescent="0.3">
      <c r="A9" s="16">
        <v>46024</v>
      </c>
      <c r="B9" s="18"/>
      <c r="C9" s="18" t="s">
        <v>467</v>
      </c>
      <c r="D9" s="18" t="s">
        <v>433</v>
      </c>
      <c r="E9" s="18" t="s">
        <v>481</v>
      </c>
      <c r="F9" s="18">
        <v>547535</v>
      </c>
      <c r="G9" t="s">
        <v>613</v>
      </c>
      <c r="H9" s="18">
        <v>999</v>
      </c>
      <c r="I9" s="18">
        <v>891.96</v>
      </c>
      <c r="J9" s="18">
        <v>107.04</v>
      </c>
      <c r="K9" t="s">
        <v>619</v>
      </c>
    </row>
    <row r="10" spans="1:12" hidden="1" x14ac:dyDescent="0.3">
      <c r="A10" s="16">
        <v>46024</v>
      </c>
      <c r="B10" s="18"/>
      <c r="C10" s="18" t="s">
        <v>467</v>
      </c>
      <c r="D10" s="18" t="s">
        <v>433</v>
      </c>
      <c r="E10" s="18" t="s">
        <v>481</v>
      </c>
      <c r="F10" s="18">
        <v>551096</v>
      </c>
      <c r="G10" t="s">
        <v>613</v>
      </c>
      <c r="H10" s="18">
        <v>999</v>
      </c>
      <c r="I10" s="18">
        <v>891.96</v>
      </c>
      <c r="J10" s="18">
        <v>107.04</v>
      </c>
      <c r="K10" t="s">
        <v>619</v>
      </c>
    </row>
    <row r="11" spans="1:12" hidden="1" x14ac:dyDescent="0.3">
      <c r="A11" s="16">
        <v>46028</v>
      </c>
      <c r="B11" s="18"/>
      <c r="C11" s="18" t="s">
        <v>468</v>
      </c>
      <c r="D11" s="18" t="s">
        <v>434</v>
      </c>
      <c r="E11" s="18" t="s">
        <v>482</v>
      </c>
      <c r="F11" s="18">
        <v>65062</v>
      </c>
      <c r="G11" s="18" t="s">
        <v>610</v>
      </c>
      <c r="H11" s="20">
        <v>11000</v>
      </c>
      <c r="I11" s="20">
        <v>9821.43</v>
      </c>
      <c r="J11" s="20">
        <v>1178.57</v>
      </c>
      <c r="K11" t="s">
        <v>619</v>
      </c>
    </row>
    <row r="12" spans="1:12" hidden="1" x14ac:dyDescent="0.3">
      <c r="A12" s="16">
        <v>46028</v>
      </c>
      <c r="B12" s="18"/>
      <c r="C12" s="18" t="s">
        <v>469</v>
      </c>
      <c r="D12" s="18" t="s">
        <v>435</v>
      </c>
      <c r="E12" s="18" t="s">
        <v>482</v>
      </c>
      <c r="F12" s="18" t="s">
        <v>489</v>
      </c>
      <c r="G12" s="18" t="s">
        <v>612</v>
      </c>
      <c r="H12" s="18">
        <v>96</v>
      </c>
      <c r="I12" s="18">
        <v>85.71</v>
      </c>
      <c r="J12" s="18">
        <v>10.29</v>
      </c>
      <c r="K12" t="s">
        <v>619</v>
      </c>
    </row>
    <row r="13" spans="1:12" hidden="1" x14ac:dyDescent="0.3">
      <c r="A13" s="16">
        <v>46028</v>
      </c>
      <c r="B13" s="18"/>
      <c r="C13" s="18" t="s">
        <v>466</v>
      </c>
      <c r="D13" s="18" t="s">
        <v>432</v>
      </c>
      <c r="E13" s="18" t="s">
        <v>480</v>
      </c>
      <c r="F13" s="18" t="s">
        <v>490</v>
      </c>
      <c r="G13" s="18" t="s">
        <v>612</v>
      </c>
      <c r="H13" s="18">
        <v>49</v>
      </c>
      <c r="I13" s="18">
        <v>43.75</v>
      </c>
      <c r="J13" s="18">
        <v>5.25</v>
      </c>
      <c r="K13" t="s">
        <v>619</v>
      </c>
    </row>
    <row r="14" spans="1:12" hidden="1" x14ac:dyDescent="0.3">
      <c r="A14" s="16">
        <v>46028</v>
      </c>
      <c r="B14" s="18"/>
      <c r="C14" s="18" t="s">
        <v>469</v>
      </c>
      <c r="D14" s="18" t="s">
        <v>435</v>
      </c>
      <c r="E14" s="18" t="s">
        <v>482</v>
      </c>
      <c r="F14" s="18" t="s">
        <v>491</v>
      </c>
      <c r="G14" s="18" t="s">
        <v>612</v>
      </c>
      <c r="H14" s="18">
        <v>71</v>
      </c>
      <c r="I14" s="18">
        <v>63.39</v>
      </c>
      <c r="J14" s="18">
        <v>7.61</v>
      </c>
      <c r="K14" t="s">
        <v>619</v>
      </c>
    </row>
    <row r="15" spans="1:12" hidden="1" x14ac:dyDescent="0.3">
      <c r="A15" s="16">
        <v>46028</v>
      </c>
      <c r="B15" s="18"/>
      <c r="C15" s="18" t="s">
        <v>466</v>
      </c>
      <c r="D15" s="18" t="s">
        <v>432</v>
      </c>
      <c r="E15" s="18" t="s">
        <v>480</v>
      </c>
      <c r="F15" s="18" t="s">
        <v>492</v>
      </c>
      <c r="G15" s="18" t="s">
        <v>612</v>
      </c>
      <c r="H15" s="18">
        <v>49</v>
      </c>
      <c r="I15" s="18">
        <v>43.75</v>
      </c>
      <c r="J15" s="18">
        <v>5.25</v>
      </c>
      <c r="K15" t="s">
        <v>619</v>
      </c>
    </row>
    <row r="16" spans="1:12" hidden="1" x14ac:dyDescent="0.3">
      <c r="A16" s="16">
        <v>46029</v>
      </c>
      <c r="B16" s="18"/>
      <c r="C16" s="18" t="s">
        <v>470</v>
      </c>
      <c r="D16" s="18" t="s">
        <v>436</v>
      </c>
      <c r="E16" s="18" t="s">
        <v>482</v>
      </c>
      <c r="F16" s="18" t="s">
        <v>493</v>
      </c>
      <c r="G16" s="18" t="s">
        <v>612</v>
      </c>
      <c r="H16" s="18">
        <v>164</v>
      </c>
      <c r="I16" s="18">
        <v>146.43</v>
      </c>
      <c r="J16" s="18">
        <v>17.57</v>
      </c>
      <c r="K16" t="s">
        <v>619</v>
      </c>
    </row>
    <row r="17" spans="1:11" hidden="1" x14ac:dyDescent="0.3">
      <c r="A17" s="16">
        <v>46029</v>
      </c>
      <c r="B17" s="18"/>
      <c r="C17" s="18" t="s">
        <v>469</v>
      </c>
      <c r="D17" s="18" t="s">
        <v>435</v>
      </c>
      <c r="E17" s="18" t="s">
        <v>482</v>
      </c>
      <c r="F17" s="18" t="s">
        <v>469</v>
      </c>
      <c r="G17" s="18" t="s">
        <v>612</v>
      </c>
      <c r="H17" s="18">
        <v>160</v>
      </c>
      <c r="I17" s="18">
        <v>142.86000000000001</v>
      </c>
      <c r="J17" s="18">
        <v>17.14</v>
      </c>
      <c r="K17" t="s">
        <v>619</v>
      </c>
    </row>
    <row r="18" spans="1:11" hidden="1" x14ac:dyDescent="0.3">
      <c r="A18" s="16">
        <v>46029</v>
      </c>
      <c r="B18" s="18"/>
      <c r="C18" s="18" t="s">
        <v>466</v>
      </c>
      <c r="D18" s="18" t="s">
        <v>432</v>
      </c>
      <c r="E18" s="18" t="s">
        <v>480</v>
      </c>
      <c r="F18" s="18" t="s">
        <v>494</v>
      </c>
      <c r="G18" s="18" t="s">
        <v>612</v>
      </c>
      <c r="H18" s="18">
        <v>49</v>
      </c>
      <c r="I18" s="18">
        <v>43.75</v>
      </c>
      <c r="J18" s="18">
        <v>5.25</v>
      </c>
      <c r="K18" t="s">
        <v>619</v>
      </c>
    </row>
    <row r="19" spans="1:11" hidden="1" x14ac:dyDescent="0.3">
      <c r="A19" s="16">
        <v>46029</v>
      </c>
      <c r="B19" s="18"/>
      <c r="C19" s="18" t="s">
        <v>471</v>
      </c>
      <c r="D19" s="18" t="s">
        <v>437</v>
      </c>
      <c r="E19" s="18" t="s">
        <v>482</v>
      </c>
      <c r="F19" s="18" t="s">
        <v>495</v>
      </c>
      <c r="G19" s="18" t="s">
        <v>612</v>
      </c>
      <c r="H19" s="18">
        <v>264</v>
      </c>
      <c r="I19" s="18">
        <v>235.71</v>
      </c>
      <c r="J19" s="18">
        <v>28.29</v>
      </c>
      <c r="K19" t="s">
        <v>619</v>
      </c>
    </row>
    <row r="20" spans="1:11" hidden="1" x14ac:dyDescent="0.3">
      <c r="A20" s="16">
        <v>46029</v>
      </c>
      <c r="B20" s="18"/>
      <c r="C20" s="18" t="s">
        <v>471</v>
      </c>
      <c r="D20" s="18" t="s">
        <v>437</v>
      </c>
      <c r="E20" s="18" t="s">
        <v>482</v>
      </c>
      <c r="F20" s="18" t="s">
        <v>496</v>
      </c>
      <c r="G20" s="18" t="s">
        <v>612</v>
      </c>
      <c r="H20" s="18">
        <v>129</v>
      </c>
      <c r="I20" s="18">
        <v>115.18</v>
      </c>
      <c r="J20" s="18">
        <v>13.82</v>
      </c>
      <c r="K20" t="s">
        <v>619</v>
      </c>
    </row>
    <row r="21" spans="1:11" hidden="1" x14ac:dyDescent="0.3">
      <c r="A21" s="16">
        <v>46029</v>
      </c>
      <c r="B21" s="18"/>
      <c r="C21" s="18" t="s">
        <v>470</v>
      </c>
      <c r="D21" s="18" t="s">
        <v>436</v>
      </c>
      <c r="E21" s="18" t="s">
        <v>482</v>
      </c>
      <c r="F21" s="18" t="s">
        <v>497</v>
      </c>
      <c r="G21" s="18" t="s">
        <v>612</v>
      </c>
      <c r="H21" s="18">
        <v>164</v>
      </c>
      <c r="I21" s="18">
        <v>146.43</v>
      </c>
      <c r="J21" s="18">
        <v>17.57</v>
      </c>
      <c r="K21" t="s">
        <v>619</v>
      </c>
    </row>
    <row r="22" spans="1:11" hidden="1" x14ac:dyDescent="0.3">
      <c r="A22" s="16">
        <v>46029</v>
      </c>
      <c r="B22" s="18"/>
      <c r="C22" s="18" t="s">
        <v>469</v>
      </c>
      <c r="D22" s="18" t="s">
        <v>435</v>
      </c>
      <c r="E22" s="18" t="s">
        <v>482</v>
      </c>
      <c r="F22" s="18" t="s">
        <v>498</v>
      </c>
      <c r="G22" s="18" t="s">
        <v>612</v>
      </c>
      <c r="H22" s="18">
        <v>160</v>
      </c>
      <c r="I22" s="18">
        <v>142.86000000000001</v>
      </c>
      <c r="J22" s="18">
        <v>17.14</v>
      </c>
      <c r="K22" t="s">
        <v>619</v>
      </c>
    </row>
    <row r="23" spans="1:11" hidden="1" x14ac:dyDescent="0.3">
      <c r="A23" s="16">
        <v>46029</v>
      </c>
      <c r="B23" s="18"/>
      <c r="C23" s="18" t="s">
        <v>466</v>
      </c>
      <c r="D23" s="18" t="s">
        <v>432</v>
      </c>
      <c r="E23" s="18" t="s">
        <v>480</v>
      </c>
      <c r="F23" s="18" t="s">
        <v>499</v>
      </c>
      <c r="G23" s="18" t="s">
        <v>612</v>
      </c>
      <c r="H23" s="18">
        <v>49</v>
      </c>
      <c r="I23" s="18">
        <v>43.75</v>
      </c>
      <c r="J23" s="18">
        <v>5.25</v>
      </c>
      <c r="K23" t="s">
        <v>619</v>
      </c>
    </row>
    <row r="24" spans="1:11" hidden="1" x14ac:dyDescent="0.3">
      <c r="A24" s="16">
        <v>46029</v>
      </c>
      <c r="B24" s="18"/>
      <c r="C24" s="18" t="s">
        <v>471</v>
      </c>
      <c r="D24" s="18" t="s">
        <v>437</v>
      </c>
      <c r="E24" s="18" t="s">
        <v>482</v>
      </c>
      <c r="F24" s="18" t="s">
        <v>500</v>
      </c>
      <c r="G24" s="18" t="s">
        <v>612</v>
      </c>
      <c r="H24" s="18">
        <v>135</v>
      </c>
      <c r="I24" s="18">
        <v>120.54</v>
      </c>
      <c r="J24" s="18">
        <v>14.46</v>
      </c>
      <c r="K24" t="s">
        <v>619</v>
      </c>
    </row>
    <row r="25" spans="1:11" hidden="1" x14ac:dyDescent="0.3">
      <c r="A25" s="16">
        <v>46029</v>
      </c>
      <c r="B25" s="18"/>
      <c r="C25" s="10"/>
      <c r="D25" s="18" t="s">
        <v>438</v>
      </c>
      <c r="E25" s="10"/>
      <c r="F25" s="10"/>
      <c r="G25" t="s">
        <v>15</v>
      </c>
      <c r="H25" s="20">
        <v>6892</v>
      </c>
      <c r="I25" s="18">
        <v>0</v>
      </c>
      <c r="J25" s="18">
        <v>0</v>
      </c>
      <c r="K25" s="7" t="s">
        <v>618</v>
      </c>
    </row>
    <row r="26" spans="1:11" hidden="1" x14ac:dyDescent="0.3">
      <c r="A26" s="16">
        <v>46030</v>
      </c>
      <c r="B26" s="18"/>
      <c r="C26" s="18" t="s">
        <v>472</v>
      </c>
      <c r="D26" s="18" t="s">
        <v>439</v>
      </c>
      <c r="E26" s="18" t="s">
        <v>480</v>
      </c>
      <c r="F26" s="18">
        <v>3140</v>
      </c>
      <c r="G26" t="s">
        <v>614</v>
      </c>
      <c r="H26" s="20">
        <v>5485</v>
      </c>
      <c r="I26" s="20">
        <v>4897.32</v>
      </c>
      <c r="J26" s="18">
        <v>587.67999999999995</v>
      </c>
      <c r="K26" t="s">
        <v>619</v>
      </c>
    </row>
    <row r="27" spans="1:11" hidden="1" x14ac:dyDescent="0.3">
      <c r="A27" s="16">
        <v>46030</v>
      </c>
      <c r="B27" s="18"/>
      <c r="C27" s="10"/>
      <c r="D27" s="18" t="s">
        <v>440</v>
      </c>
      <c r="E27" s="18" t="s">
        <v>480</v>
      </c>
      <c r="F27" s="18">
        <v>68633456</v>
      </c>
      <c r="G27" t="s">
        <v>615</v>
      </c>
      <c r="H27" s="20">
        <v>8561</v>
      </c>
      <c r="I27" s="10"/>
      <c r="J27" s="10"/>
      <c r="K27" t="s">
        <v>619</v>
      </c>
    </row>
    <row r="28" spans="1:11" hidden="1" x14ac:dyDescent="0.3">
      <c r="A28" s="16">
        <v>46030</v>
      </c>
      <c r="B28" s="18"/>
      <c r="C28" s="10"/>
      <c r="D28" s="18" t="s">
        <v>441</v>
      </c>
      <c r="E28" s="18" t="s">
        <v>480</v>
      </c>
      <c r="F28" s="10"/>
      <c r="G28" t="s">
        <v>615</v>
      </c>
      <c r="H28" s="18">
        <v>640</v>
      </c>
      <c r="I28" s="10"/>
      <c r="J28" s="10"/>
      <c r="K28" t="s">
        <v>618</v>
      </c>
    </row>
    <row r="29" spans="1:11" hidden="1" x14ac:dyDescent="0.3">
      <c r="A29" s="16">
        <v>46030</v>
      </c>
      <c r="B29" s="18"/>
      <c r="C29" s="10"/>
      <c r="D29" s="18" t="s">
        <v>442</v>
      </c>
      <c r="E29" s="18" t="s">
        <v>480</v>
      </c>
      <c r="F29" s="18">
        <v>24305101</v>
      </c>
      <c r="G29" t="s">
        <v>615</v>
      </c>
      <c r="H29" s="18">
        <v>512</v>
      </c>
      <c r="I29" s="10"/>
      <c r="J29" s="10"/>
      <c r="K29" t="s">
        <v>618</v>
      </c>
    </row>
    <row r="30" spans="1:11" hidden="1" x14ac:dyDescent="0.3">
      <c r="A30" s="16">
        <v>46030</v>
      </c>
      <c r="B30" s="18"/>
      <c r="C30" s="10"/>
      <c r="D30" s="18" t="s">
        <v>443</v>
      </c>
      <c r="E30" s="18" t="s">
        <v>480</v>
      </c>
      <c r="F30" s="10"/>
      <c r="G30" t="s">
        <v>615</v>
      </c>
      <c r="H30" s="18">
        <v>65</v>
      </c>
      <c r="I30" s="10"/>
      <c r="J30" s="10"/>
      <c r="K30" t="s">
        <v>618</v>
      </c>
    </row>
    <row r="31" spans="1:11" hidden="1" x14ac:dyDescent="0.3">
      <c r="A31" s="16">
        <v>46030</v>
      </c>
      <c r="B31" s="18"/>
      <c r="C31" s="10"/>
      <c r="D31" s="18" t="s">
        <v>444</v>
      </c>
      <c r="E31" s="18" t="s">
        <v>480</v>
      </c>
      <c r="F31" s="18">
        <v>6863345</v>
      </c>
      <c r="G31" t="s">
        <v>615</v>
      </c>
      <c r="H31" s="20">
        <v>17895.75</v>
      </c>
      <c r="I31" s="10"/>
      <c r="J31" s="10"/>
      <c r="K31" t="s">
        <v>618</v>
      </c>
    </row>
    <row r="32" spans="1:11" hidden="1" x14ac:dyDescent="0.3">
      <c r="A32" s="16">
        <v>46030</v>
      </c>
      <c r="B32" s="18"/>
      <c r="C32" s="10"/>
      <c r="D32" s="18" t="s">
        <v>445</v>
      </c>
      <c r="E32" s="18" t="s">
        <v>480</v>
      </c>
      <c r="F32" s="18">
        <v>147311</v>
      </c>
      <c r="G32" t="s">
        <v>615</v>
      </c>
      <c r="H32" s="20">
        <v>1334</v>
      </c>
      <c r="I32" s="10"/>
      <c r="J32" s="10"/>
      <c r="K32" t="s">
        <v>618</v>
      </c>
    </row>
    <row r="33" spans="1:11" hidden="1" x14ac:dyDescent="0.3">
      <c r="A33" s="16">
        <v>46030</v>
      </c>
      <c r="B33" s="18"/>
      <c r="C33" s="10"/>
      <c r="D33" s="18" t="s">
        <v>446</v>
      </c>
      <c r="E33" s="18" t="s">
        <v>480</v>
      </c>
      <c r="F33" s="18">
        <v>24305102</v>
      </c>
      <c r="G33" t="s">
        <v>615</v>
      </c>
      <c r="H33" s="18">
        <v>674</v>
      </c>
      <c r="I33" s="10"/>
      <c r="J33" s="10"/>
      <c r="K33" t="s">
        <v>618</v>
      </c>
    </row>
    <row r="34" spans="1:11" hidden="1" x14ac:dyDescent="0.3">
      <c r="A34" s="16">
        <v>46031</v>
      </c>
      <c r="B34" s="18"/>
      <c r="C34" s="18" t="s">
        <v>466</v>
      </c>
      <c r="D34" s="18" t="s">
        <v>432</v>
      </c>
      <c r="E34" s="18" t="s">
        <v>480</v>
      </c>
      <c r="F34" s="18" t="s">
        <v>501</v>
      </c>
      <c r="G34" s="18" t="s">
        <v>612</v>
      </c>
      <c r="H34" s="18">
        <v>64</v>
      </c>
      <c r="I34" s="18">
        <v>57.14</v>
      </c>
      <c r="J34" s="18">
        <v>6.86</v>
      </c>
      <c r="K34" t="s">
        <v>619</v>
      </c>
    </row>
    <row r="35" spans="1:11" hidden="1" x14ac:dyDescent="0.3">
      <c r="A35" s="16">
        <v>46032</v>
      </c>
      <c r="B35" s="18"/>
      <c r="C35" s="18" t="s">
        <v>470</v>
      </c>
      <c r="D35" s="18" t="s">
        <v>436</v>
      </c>
      <c r="E35" s="18" t="s">
        <v>482</v>
      </c>
      <c r="F35" s="18" t="s">
        <v>502</v>
      </c>
      <c r="G35" s="18" t="s">
        <v>612</v>
      </c>
      <c r="H35" s="18">
        <v>69</v>
      </c>
      <c r="I35" s="18">
        <v>61.61</v>
      </c>
      <c r="J35" s="18">
        <v>7.39</v>
      </c>
      <c r="K35" t="s">
        <v>619</v>
      </c>
    </row>
    <row r="36" spans="1:11" hidden="1" x14ac:dyDescent="0.3">
      <c r="A36" s="16">
        <v>46032</v>
      </c>
      <c r="B36" s="18"/>
      <c r="C36" s="18" t="s">
        <v>469</v>
      </c>
      <c r="D36" s="18" t="s">
        <v>435</v>
      </c>
      <c r="E36" s="18" t="s">
        <v>482</v>
      </c>
      <c r="F36" s="18" t="s">
        <v>503</v>
      </c>
      <c r="G36" s="18" t="s">
        <v>612</v>
      </c>
      <c r="H36" s="18">
        <v>160</v>
      </c>
      <c r="I36" s="18">
        <v>142.86000000000001</v>
      </c>
      <c r="J36" s="18">
        <v>17.14</v>
      </c>
      <c r="K36" t="s">
        <v>619</v>
      </c>
    </row>
    <row r="37" spans="1:11" hidden="1" x14ac:dyDescent="0.3">
      <c r="A37" s="16">
        <v>46032</v>
      </c>
      <c r="B37" s="18"/>
      <c r="C37" s="18" t="s">
        <v>470</v>
      </c>
      <c r="D37" s="18" t="s">
        <v>436</v>
      </c>
      <c r="E37" s="18" t="s">
        <v>482</v>
      </c>
      <c r="F37" s="18" t="s">
        <v>504</v>
      </c>
      <c r="G37" s="18" t="s">
        <v>612</v>
      </c>
      <c r="H37" s="18">
        <v>72</v>
      </c>
      <c r="I37" s="18">
        <v>64.290000000000006</v>
      </c>
      <c r="J37" s="18">
        <v>7.71</v>
      </c>
      <c r="K37" t="s">
        <v>619</v>
      </c>
    </row>
    <row r="38" spans="1:11" hidden="1" x14ac:dyDescent="0.3">
      <c r="A38" s="16">
        <v>46032</v>
      </c>
      <c r="B38" s="18"/>
      <c r="C38" s="18" t="s">
        <v>471</v>
      </c>
      <c r="D38" s="18" t="s">
        <v>437</v>
      </c>
      <c r="E38" s="18" t="s">
        <v>482</v>
      </c>
      <c r="F38" s="18" t="s">
        <v>505</v>
      </c>
      <c r="G38" s="18" t="s">
        <v>612</v>
      </c>
      <c r="H38" s="18">
        <v>264</v>
      </c>
      <c r="I38" s="18">
        <v>235.71</v>
      </c>
      <c r="J38" s="18">
        <v>28.29</v>
      </c>
      <c r="K38" t="s">
        <v>619</v>
      </c>
    </row>
    <row r="39" spans="1:11" hidden="1" x14ac:dyDescent="0.3">
      <c r="A39" s="16">
        <v>46032</v>
      </c>
      <c r="B39" s="18"/>
      <c r="C39" s="18" t="s">
        <v>473</v>
      </c>
      <c r="D39" s="18" t="s">
        <v>447</v>
      </c>
      <c r="E39" s="18" t="s">
        <v>482</v>
      </c>
      <c r="F39" s="18" t="s">
        <v>506</v>
      </c>
      <c r="G39" s="18" t="s">
        <v>612</v>
      </c>
      <c r="H39" s="18">
        <v>30</v>
      </c>
      <c r="I39" s="18">
        <v>26.79</v>
      </c>
      <c r="J39" s="18">
        <v>3.21</v>
      </c>
      <c r="K39" t="s">
        <v>619</v>
      </c>
    </row>
    <row r="40" spans="1:11" hidden="1" x14ac:dyDescent="0.3">
      <c r="A40" s="16">
        <v>46034</v>
      </c>
      <c r="B40" s="18"/>
      <c r="C40" s="10"/>
      <c r="D40" s="18" t="s">
        <v>448</v>
      </c>
      <c r="E40" s="18" t="s">
        <v>483</v>
      </c>
      <c r="F40" s="18">
        <v>8909</v>
      </c>
      <c r="G40" s="18" t="s">
        <v>614</v>
      </c>
      <c r="H40" s="20">
        <v>1200</v>
      </c>
      <c r="I40" s="20">
        <v>1071.43</v>
      </c>
      <c r="J40" s="18">
        <v>128.57</v>
      </c>
      <c r="K40" t="s">
        <v>619</v>
      </c>
    </row>
    <row r="41" spans="1:11" hidden="1" x14ac:dyDescent="0.3">
      <c r="A41" s="16">
        <v>46035</v>
      </c>
      <c r="B41" s="18"/>
      <c r="C41" s="18" t="s">
        <v>474</v>
      </c>
      <c r="D41" s="18" t="s">
        <v>449</v>
      </c>
      <c r="E41" s="18" t="s">
        <v>480</v>
      </c>
      <c r="F41" s="18">
        <v>21067</v>
      </c>
      <c r="G41" t="s">
        <v>14</v>
      </c>
      <c r="H41" s="20">
        <v>1295</v>
      </c>
      <c r="I41" s="20">
        <v>1156.25</v>
      </c>
      <c r="J41" s="18">
        <v>138.75</v>
      </c>
      <c r="K41" t="s">
        <v>619</v>
      </c>
    </row>
    <row r="42" spans="1:11" hidden="1" x14ac:dyDescent="0.3">
      <c r="A42" s="16">
        <v>46036</v>
      </c>
      <c r="B42" s="18"/>
      <c r="C42" s="18" t="s">
        <v>475</v>
      </c>
      <c r="D42" s="18" t="s">
        <v>450</v>
      </c>
      <c r="E42" s="18" t="s">
        <v>484</v>
      </c>
      <c r="F42" s="18">
        <v>1989</v>
      </c>
      <c r="G42" t="s">
        <v>12</v>
      </c>
      <c r="H42" s="18">
        <v>140</v>
      </c>
      <c r="I42" s="18">
        <v>125</v>
      </c>
      <c r="J42" s="18">
        <v>15</v>
      </c>
      <c r="K42" t="s">
        <v>619</v>
      </c>
    </row>
    <row r="43" spans="1:11" hidden="1" x14ac:dyDescent="0.3">
      <c r="A43" s="16">
        <v>46036</v>
      </c>
      <c r="B43" s="18"/>
      <c r="C43" s="18" t="s">
        <v>465</v>
      </c>
      <c r="D43" s="18" t="s">
        <v>431</v>
      </c>
      <c r="E43" s="18" t="s">
        <v>480</v>
      </c>
      <c r="F43" s="10"/>
      <c r="G43" s="18" t="s">
        <v>611</v>
      </c>
      <c r="H43" s="20">
        <v>2000</v>
      </c>
      <c r="I43" s="20">
        <v>1785.71</v>
      </c>
      <c r="J43" s="18">
        <v>214.29</v>
      </c>
      <c r="K43" t="s">
        <v>619</v>
      </c>
    </row>
    <row r="44" spans="1:11" hidden="1" x14ac:dyDescent="0.3">
      <c r="A44" s="16">
        <v>46036</v>
      </c>
      <c r="B44" s="18"/>
      <c r="C44" s="18" t="s">
        <v>471</v>
      </c>
      <c r="D44" s="18" t="s">
        <v>437</v>
      </c>
      <c r="E44" s="18" t="s">
        <v>482</v>
      </c>
      <c r="F44" s="18" t="s">
        <v>507</v>
      </c>
      <c r="G44" s="18" t="s">
        <v>612</v>
      </c>
      <c r="H44" s="18">
        <v>135</v>
      </c>
      <c r="I44" s="18">
        <v>120.54</v>
      </c>
      <c r="J44" s="18">
        <v>14.46</v>
      </c>
      <c r="K44" t="s">
        <v>619</v>
      </c>
    </row>
    <row r="45" spans="1:11" hidden="1" x14ac:dyDescent="0.3">
      <c r="A45" s="16">
        <v>46036</v>
      </c>
      <c r="B45" s="18"/>
      <c r="C45" s="18" t="s">
        <v>466</v>
      </c>
      <c r="D45" s="18" t="s">
        <v>432</v>
      </c>
      <c r="E45" s="18" t="s">
        <v>480</v>
      </c>
      <c r="F45" s="18" t="s">
        <v>508</v>
      </c>
      <c r="G45" s="18" t="s">
        <v>612</v>
      </c>
      <c r="H45" s="18">
        <v>49</v>
      </c>
      <c r="I45" s="18">
        <v>43.75</v>
      </c>
      <c r="J45" s="18">
        <v>5.25</v>
      </c>
      <c r="K45" t="s">
        <v>619</v>
      </c>
    </row>
    <row r="46" spans="1:11" hidden="1" x14ac:dyDescent="0.3">
      <c r="A46" s="16">
        <v>46036</v>
      </c>
      <c r="B46" s="18"/>
      <c r="C46" s="18" t="s">
        <v>469</v>
      </c>
      <c r="D46" s="18" t="s">
        <v>435</v>
      </c>
      <c r="E46" s="18" t="s">
        <v>482</v>
      </c>
      <c r="F46" s="18" t="s">
        <v>509</v>
      </c>
      <c r="G46" s="18" t="s">
        <v>612</v>
      </c>
      <c r="H46" s="18">
        <v>160</v>
      </c>
      <c r="I46" s="18">
        <v>142.86000000000001</v>
      </c>
      <c r="J46" s="18">
        <v>17.14</v>
      </c>
      <c r="K46" t="s">
        <v>619</v>
      </c>
    </row>
    <row r="47" spans="1:11" hidden="1" x14ac:dyDescent="0.3">
      <c r="A47" s="16">
        <v>46036</v>
      </c>
      <c r="B47" s="18"/>
      <c r="C47" s="18" t="s">
        <v>470</v>
      </c>
      <c r="D47" s="18" t="s">
        <v>436</v>
      </c>
      <c r="E47" s="18" t="s">
        <v>482</v>
      </c>
      <c r="F47" s="18" t="s">
        <v>510</v>
      </c>
      <c r="G47" s="18" t="s">
        <v>612</v>
      </c>
      <c r="H47" s="18">
        <v>164</v>
      </c>
      <c r="I47" s="18">
        <v>146.43</v>
      </c>
      <c r="J47" s="18">
        <v>17.57</v>
      </c>
      <c r="K47" t="s">
        <v>619</v>
      </c>
    </row>
    <row r="48" spans="1:11" hidden="1" x14ac:dyDescent="0.3">
      <c r="A48" s="16">
        <v>46036</v>
      </c>
      <c r="B48" s="18"/>
      <c r="C48" s="18" t="s">
        <v>471</v>
      </c>
      <c r="D48" s="18" t="s">
        <v>437</v>
      </c>
      <c r="E48" s="18" t="s">
        <v>482</v>
      </c>
      <c r="F48" s="18" t="s">
        <v>511</v>
      </c>
      <c r="G48" s="18" t="s">
        <v>612</v>
      </c>
      <c r="H48" s="18">
        <v>129</v>
      </c>
      <c r="I48" s="18">
        <v>115.18</v>
      </c>
      <c r="J48" s="18">
        <v>13.82</v>
      </c>
      <c r="K48" t="s">
        <v>619</v>
      </c>
    </row>
    <row r="49" spans="1:11" hidden="1" x14ac:dyDescent="0.3">
      <c r="A49" s="16">
        <v>46036</v>
      </c>
      <c r="B49" s="18"/>
      <c r="C49" s="18" t="s">
        <v>471</v>
      </c>
      <c r="D49" s="18" t="s">
        <v>437</v>
      </c>
      <c r="E49" s="18" t="s">
        <v>482</v>
      </c>
      <c r="F49" s="18" t="s">
        <v>512</v>
      </c>
      <c r="G49" s="18" t="s">
        <v>612</v>
      </c>
      <c r="H49" s="18">
        <v>264</v>
      </c>
      <c r="I49" s="18">
        <v>235.71</v>
      </c>
      <c r="J49" s="18">
        <v>28.29</v>
      </c>
      <c r="K49" t="s">
        <v>619</v>
      </c>
    </row>
    <row r="50" spans="1:11" hidden="1" x14ac:dyDescent="0.3">
      <c r="A50" s="16">
        <v>46036</v>
      </c>
      <c r="B50" s="18"/>
      <c r="C50" s="18" t="s">
        <v>466</v>
      </c>
      <c r="D50" s="18" t="s">
        <v>432</v>
      </c>
      <c r="E50" s="18" t="s">
        <v>480</v>
      </c>
      <c r="F50" s="18" t="s">
        <v>513</v>
      </c>
      <c r="G50" s="18" t="s">
        <v>612</v>
      </c>
      <c r="H50" s="18">
        <v>49</v>
      </c>
      <c r="I50" s="18">
        <v>43.75</v>
      </c>
      <c r="J50" s="18">
        <v>5.25</v>
      </c>
      <c r="K50" t="s">
        <v>619</v>
      </c>
    </row>
    <row r="51" spans="1:11" hidden="1" x14ac:dyDescent="0.3">
      <c r="A51" s="16">
        <v>46036</v>
      </c>
      <c r="B51" s="18"/>
      <c r="C51" s="18" t="s">
        <v>469</v>
      </c>
      <c r="D51" s="18" t="s">
        <v>435</v>
      </c>
      <c r="E51" s="18" t="s">
        <v>482</v>
      </c>
      <c r="F51" s="18" t="s">
        <v>514</v>
      </c>
      <c r="G51" s="18" t="s">
        <v>612</v>
      </c>
      <c r="H51" s="18">
        <v>160</v>
      </c>
      <c r="I51" s="18">
        <v>142.86000000000001</v>
      </c>
      <c r="J51" s="18">
        <v>17.14</v>
      </c>
      <c r="K51" t="s">
        <v>619</v>
      </c>
    </row>
    <row r="52" spans="1:11" hidden="1" x14ac:dyDescent="0.3">
      <c r="A52" s="16">
        <v>46036</v>
      </c>
      <c r="B52" s="18"/>
      <c r="C52" s="18" t="s">
        <v>470</v>
      </c>
      <c r="D52" s="18" t="s">
        <v>436</v>
      </c>
      <c r="E52" s="18" t="s">
        <v>482</v>
      </c>
      <c r="F52" s="18" t="s">
        <v>515</v>
      </c>
      <c r="G52" s="18" t="s">
        <v>612</v>
      </c>
      <c r="H52" s="18">
        <v>164</v>
      </c>
      <c r="I52" s="18">
        <v>146.43</v>
      </c>
      <c r="J52" s="18">
        <v>17.57</v>
      </c>
      <c r="K52" t="s">
        <v>619</v>
      </c>
    </row>
    <row r="53" spans="1:11" hidden="1" x14ac:dyDescent="0.3">
      <c r="A53" s="16">
        <v>46037</v>
      </c>
      <c r="B53" s="18"/>
      <c r="C53" s="18" t="s">
        <v>476</v>
      </c>
      <c r="D53" s="18" t="s">
        <v>451</v>
      </c>
      <c r="E53" s="18" t="s">
        <v>485</v>
      </c>
      <c r="F53" s="18">
        <v>11</v>
      </c>
      <c r="G53" t="s">
        <v>616</v>
      </c>
      <c r="H53" s="20">
        <v>10560</v>
      </c>
      <c r="I53" s="20">
        <v>9428.57</v>
      </c>
      <c r="J53" s="20">
        <v>1131.43</v>
      </c>
      <c r="K53" t="s">
        <v>619</v>
      </c>
    </row>
    <row r="54" spans="1:11" hidden="1" x14ac:dyDescent="0.3">
      <c r="A54" s="16">
        <v>46038</v>
      </c>
      <c r="B54" s="18"/>
      <c r="C54" s="10"/>
      <c r="D54" s="18" t="s">
        <v>452</v>
      </c>
      <c r="E54" s="10"/>
      <c r="F54" s="10"/>
      <c r="G54" s="18" t="s">
        <v>615</v>
      </c>
      <c r="H54" s="20">
        <v>5030</v>
      </c>
      <c r="I54" s="10"/>
      <c r="J54" s="10"/>
      <c r="K54" s="7" t="s">
        <v>618</v>
      </c>
    </row>
    <row r="55" spans="1:11" hidden="1" x14ac:dyDescent="0.3">
      <c r="A55" s="16">
        <v>46044</v>
      </c>
      <c r="B55" s="18"/>
      <c r="C55" s="18" t="s">
        <v>464</v>
      </c>
      <c r="D55" s="18" t="s">
        <v>453</v>
      </c>
      <c r="E55" s="18" t="s">
        <v>480</v>
      </c>
      <c r="F55" s="18" t="s">
        <v>516</v>
      </c>
      <c r="G55" s="18" t="s">
        <v>610</v>
      </c>
      <c r="H55" s="18">
        <v>459</v>
      </c>
      <c r="I55" s="18">
        <v>409.82</v>
      </c>
      <c r="J55" s="18">
        <v>49.18</v>
      </c>
      <c r="K55" t="s">
        <v>619</v>
      </c>
    </row>
    <row r="56" spans="1:11" hidden="1" x14ac:dyDescent="0.3">
      <c r="A56" s="16">
        <v>46044</v>
      </c>
      <c r="B56" s="18"/>
      <c r="C56" s="18" t="s">
        <v>477</v>
      </c>
      <c r="D56" s="18" t="s">
        <v>454</v>
      </c>
      <c r="E56" s="18" t="s">
        <v>482</v>
      </c>
      <c r="F56" s="18">
        <v>65063</v>
      </c>
      <c r="G56" s="18" t="s">
        <v>610</v>
      </c>
      <c r="H56" s="20">
        <v>6221</v>
      </c>
      <c r="I56" s="20">
        <v>5554.46</v>
      </c>
      <c r="J56" s="18">
        <v>666.54</v>
      </c>
      <c r="K56" t="s">
        <v>619</v>
      </c>
    </row>
    <row r="57" spans="1:11" hidden="1" x14ac:dyDescent="0.3">
      <c r="A57" s="16">
        <v>46045</v>
      </c>
      <c r="B57" s="18"/>
      <c r="C57" s="18" t="s">
        <v>467</v>
      </c>
      <c r="D57" s="18" t="s">
        <v>433</v>
      </c>
      <c r="E57" s="18" t="s">
        <v>481</v>
      </c>
      <c r="F57" s="18">
        <v>547613</v>
      </c>
      <c r="G57" s="18" t="s">
        <v>613</v>
      </c>
      <c r="H57" s="18">
        <v>599</v>
      </c>
      <c r="I57" s="18">
        <v>534.82000000000005</v>
      </c>
      <c r="J57" s="18">
        <v>64.180000000000007</v>
      </c>
      <c r="K57" t="s">
        <v>619</v>
      </c>
    </row>
    <row r="58" spans="1:11" hidden="1" x14ac:dyDescent="0.3">
      <c r="A58" s="16">
        <v>46045</v>
      </c>
      <c r="B58" s="18"/>
      <c r="C58" s="18" t="s">
        <v>467</v>
      </c>
      <c r="D58" s="18" t="s">
        <v>433</v>
      </c>
      <c r="E58" s="18" t="s">
        <v>481</v>
      </c>
      <c r="F58" s="18">
        <v>9173106</v>
      </c>
      <c r="G58" s="18" t="s">
        <v>613</v>
      </c>
      <c r="H58" s="18">
        <v>999</v>
      </c>
      <c r="I58" s="18">
        <v>891.96</v>
      </c>
      <c r="J58" s="18">
        <v>107.04</v>
      </c>
      <c r="K58" t="s">
        <v>619</v>
      </c>
    </row>
    <row r="59" spans="1:11" hidden="1" x14ac:dyDescent="0.3">
      <c r="A59" s="16">
        <v>46045</v>
      </c>
      <c r="B59" s="18"/>
      <c r="C59" s="18" t="s">
        <v>467</v>
      </c>
      <c r="D59" s="18" t="s">
        <v>433</v>
      </c>
      <c r="E59" s="18" t="s">
        <v>481</v>
      </c>
      <c r="F59" s="18">
        <v>547532</v>
      </c>
      <c r="G59" s="18" t="s">
        <v>613</v>
      </c>
      <c r="H59" s="20">
        <v>1004</v>
      </c>
      <c r="I59" s="18">
        <v>896.43</v>
      </c>
      <c r="J59" s="18">
        <v>107.57</v>
      </c>
      <c r="K59" t="s">
        <v>619</v>
      </c>
    </row>
    <row r="60" spans="1:11" hidden="1" x14ac:dyDescent="0.3">
      <c r="A60" s="16">
        <v>46045</v>
      </c>
      <c r="B60" s="18"/>
      <c r="C60" s="18" t="s">
        <v>467</v>
      </c>
      <c r="D60" s="18" t="s">
        <v>433</v>
      </c>
      <c r="E60" s="18" t="s">
        <v>481</v>
      </c>
      <c r="F60" s="18">
        <v>9166255</v>
      </c>
      <c r="G60" s="18" t="s">
        <v>613</v>
      </c>
      <c r="H60" s="20">
        <v>1004</v>
      </c>
      <c r="I60" s="18">
        <v>896.43</v>
      </c>
      <c r="J60" s="18">
        <v>107.57</v>
      </c>
      <c r="K60" t="s">
        <v>619</v>
      </c>
    </row>
    <row r="61" spans="1:11" hidden="1" x14ac:dyDescent="0.3">
      <c r="A61" s="16">
        <v>46051</v>
      </c>
      <c r="B61" s="18"/>
      <c r="C61" s="18" t="s">
        <v>478</v>
      </c>
      <c r="D61" s="18" t="s">
        <v>455</v>
      </c>
      <c r="E61" s="18" t="s">
        <v>482</v>
      </c>
      <c r="F61" s="18">
        <v>17656</v>
      </c>
      <c r="G61" s="18" t="s">
        <v>616</v>
      </c>
      <c r="H61" s="20">
        <v>97450</v>
      </c>
      <c r="I61" s="20">
        <v>87008.93</v>
      </c>
      <c r="J61" s="20">
        <v>10441.07</v>
      </c>
      <c r="K61" t="s">
        <v>619</v>
      </c>
    </row>
    <row r="62" spans="1:11" hidden="1" x14ac:dyDescent="0.3">
      <c r="A62" s="16">
        <v>46051</v>
      </c>
      <c r="B62" s="18"/>
      <c r="C62" s="18" t="s">
        <v>478</v>
      </c>
      <c r="D62" s="18" t="s">
        <v>455</v>
      </c>
      <c r="E62" s="18" t="s">
        <v>482</v>
      </c>
      <c r="F62" s="18">
        <v>17657</v>
      </c>
      <c r="G62" s="18" t="s">
        <v>616</v>
      </c>
      <c r="H62" s="20">
        <v>6440</v>
      </c>
      <c r="I62" s="20">
        <v>5750</v>
      </c>
      <c r="J62" s="18">
        <v>690</v>
      </c>
      <c r="K62" t="s">
        <v>619</v>
      </c>
    </row>
    <row r="63" spans="1:11" hidden="1" x14ac:dyDescent="0.3">
      <c r="A63" s="16">
        <v>46051</v>
      </c>
      <c r="B63" s="18"/>
      <c r="C63" s="18" t="s">
        <v>466</v>
      </c>
      <c r="D63" s="18" t="s">
        <v>432</v>
      </c>
      <c r="E63" s="18" t="s">
        <v>480</v>
      </c>
      <c r="F63" s="18" t="s">
        <v>517</v>
      </c>
      <c r="G63" s="18" t="s">
        <v>612</v>
      </c>
      <c r="H63" s="18">
        <v>35</v>
      </c>
      <c r="I63" s="18">
        <v>31.25</v>
      </c>
      <c r="J63" s="18">
        <v>3.75</v>
      </c>
      <c r="K63" t="s">
        <v>619</v>
      </c>
    </row>
    <row r="64" spans="1:11" hidden="1" x14ac:dyDescent="0.3">
      <c r="A64" s="16">
        <v>46051</v>
      </c>
      <c r="B64" s="18"/>
      <c r="C64" s="18" t="s">
        <v>466</v>
      </c>
      <c r="D64" s="18" t="s">
        <v>432</v>
      </c>
      <c r="E64" s="18" t="s">
        <v>480</v>
      </c>
      <c r="F64" s="18" t="s">
        <v>518</v>
      </c>
      <c r="G64" s="18" t="s">
        <v>612</v>
      </c>
      <c r="H64" s="18">
        <v>35</v>
      </c>
      <c r="I64" s="18">
        <v>31.25</v>
      </c>
      <c r="J64" s="18">
        <v>3.75</v>
      </c>
      <c r="K64" t="s">
        <v>619</v>
      </c>
    </row>
    <row r="65" spans="1:11" hidden="1" x14ac:dyDescent="0.3">
      <c r="A65" s="16">
        <v>46051</v>
      </c>
      <c r="B65" s="18"/>
      <c r="C65" s="18" t="s">
        <v>479</v>
      </c>
      <c r="D65" s="18" t="s">
        <v>456</v>
      </c>
      <c r="E65" s="18" t="s">
        <v>480</v>
      </c>
      <c r="F65" s="18">
        <v>9289</v>
      </c>
      <c r="G65" s="18" t="s">
        <v>610</v>
      </c>
      <c r="H65" s="18">
        <v>875.68</v>
      </c>
      <c r="I65" s="18">
        <v>781.86</v>
      </c>
      <c r="J65" s="18">
        <v>93.82</v>
      </c>
      <c r="K65" t="s">
        <v>619</v>
      </c>
    </row>
    <row r="66" spans="1:11" hidden="1" x14ac:dyDescent="0.3">
      <c r="A66" s="16">
        <v>46051</v>
      </c>
      <c r="B66" s="18"/>
      <c r="C66" s="18" t="s">
        <v>479</v>
      </c>
      <c r="D66" s="18" t="s">
        <v>456</v>
      </c>
      <c r="E66" s="18" t="s">
        <v>480</v>
      </c>
      <c r="F66" s="18">
        <v>9290</v>
      </c>
      <c r="G66" s="18" t="s">
        <v>610</v>
      </c>
      <c r="H66" s="20">
        <v>8576.7999999999993</v>
      </c>
      <c r="I66" s="20">
        <v>7657.86</v>
      </c>
      <c r="J66" s="18">
        <v>918.94</v>
      </c>
      <c r="K66" t="s">
        <v>619</v>
      </c>
    </row>
    <row r="67" spans="1:11" hidden="1" x14ac:dyDescent="0.3">
      <c r="A67" s="16">
        <v>46051</v>
      </c>
      <c r="B67" s="18"/>
      <c r="C67" s="18" t="s">
        <v>479</v>
      </c>
      <c r="D67" s="18" t="s">
        <v>456</v>
      </c>
      <c r="E67" s="18" t="s">
        <v>480</v>
      </c>
      <c r="F67" s="18">
        <v>9291</v>
      </c>
      <c r="G67" s="18" t="s">
        <v>610</v>
      </c>
      <c r="H67" s="20">
        <v>8629.68</v>
      </c>
      <c r="I67" s="20">
        <v>7705.07</v>
      </c>
      <c r="J67" s="18">
        <v>924.61</v>
      </c>
      <c r="K67" t="s">
        <v>619</v>
      </c>
    </row>
    <row r="68" spans="1:11" hidden="1" x14ac:dyDescent="0.3">
      <c r="A68" s="17">
        <v>46051</v>
      </c>
      <c r="B68" s="19"/>
      <c r="C68" s="10"/>
      <c r="D68" s="19" t="s">
        <v>457</v>
      </c>
      <c r="E68" s="10"/>
      <c r="F68" s="10"/>
      <c r="G68" s="18" t="s">
        <v>616</v>
      </c>
      <c r="H68" s="21">
        <v>3880801.06</v>
      </c>
      <c r="I68" s="10"/>
      <c r="J68" s="10"/>
      <c r="K68" s="7" t="s">
        <v>618</v>
      </c>
    </row>
    <row r="69" spans="1:11" hidden="1" x14ac:dyDescent="0.3">
      <c r="A69" s="16">
        <v>46052</v>
      </c>
      <c r="B69" s="18"/>
      <c r="C69" s="18" t="s">
        <v>466</v>
      </c>
      <c r="D69" s="18" t="s">
        <v>432</v>
      </c>
      <c r="E69" s="18" t="s">
        <v>480</v>
      </c>
      <c r="F69" s="18" t="s">
        <v>519</v>
      </c>
      <c r="G69" s="18" t="s">
        <v>612</v>
      </c>
      <c r="H69" s="18">
        <v>35</v>
      </c>
      <c r="I69" s="18">
        <v>31.25</v>
      </c>
      <c r="J69" s="18">
        <v>3.75</v>
      </c>
      <c r="K69" t="s">
        <v>619</v>
      </c>
    </row>
    <row r="70" spans="1:11" hidden="1" x14ac:dyDescent="0.3">
      <c r="A70" s="16">
        <v>46052</v>
      </c>
      <c r="B70" s="18"/>
      <c r="C70" s="18" t="s">
        <v>466</v>
      </c>
      <c r="D70" s="18" t="s">
        <v>432</v>
      </c>
      <c r="E70" s="18" t="s">
        <v>480</v>
      </c>
      <c r="F70" s="18" t="s">
        <v>520</v>
      </c>
      <c r="G70" s="18" t="s">
        <v>612</v>
      </c>
      <c r="H70" s="18">
        <v>20</v>
      </c>
      <c r="I70" s="18">
        <v>17.86</v>
      </c>
      <c r="J70" s="18">
        <v>2.14</v>
      </c>
      <c r="K70" t="s">
        <v>619</v>
      </c>
    </row>
    <row r="71" spans="1:11" hidden="1" x14ac:dyDescent="0.3">
      <c r="A71" s="16">
        <v>46053</v>
      </c>
      <c r="B71" s="18"/>
      <c r="C71" s="10"/>
      <c r="D71" s="18" t="s">
        <v>458</v>
      </c>
      <c r="E71" s="18" t="s">
        <v>486</v>
      </c>
      <c r="F71" s="18">
        <v>5554647</v>
      </c>
      <c r="G71" s="18" t="s">
        <v>616</v>
      </c>
      <c r="H71" s="20">
        <v>3000</v>
      </c>
      <c r="I71" s="10"/>
      <c r="J71" s="10"/>
      <c r="K71" s="7" t="s">
        <v>618</v>
      </c>
    </row>
    <row r="72" spans="1:11" hidden="1" x14ac:dyDescent="0.3">
      <c r="A72" s="16">
        <v>46053</v>
      </c>
      <c r="B72" s="18"/>
      <c r="C72" s="10"/>
      <c r="D72" s="18" t="s">
        <v>459</v>
      </c>
      <c r="E72" s="10"/>
      <c r="F72" s="10"/>
      <c r="G72" s="18" t="s">
        <v>15</v>
      </c>
      <c r="H72" s="20">
        <v>15000</v>
      </c>
      <c r="I72" s="18">
        <v>0</v>
      </c>
      <c r="J72" s="18">
        <v>0</v>
      </c>
      <c r="K72" s="7" t="s">
        <v>618</v>
      </c>
    </row>
    <row r="73" spans="1:11" hidden="1" x14ac:dyDescent="0.3">
      <c r="A73" s="16">
        <v>46053</v>
      </c>
      <c r="B73" s="18"/>
      <c r="C73" s="10"/>
      <c r="D73" s="18" t="s">
        <v>460</v>
      </c>
      <c r="E73" s="10"/>
      <c r="F73" s="10"/>
      <c r="G73" s="18" t="s">
        <v>15</v>
      </c>
      <c r="H73" s="20">
        <v>15000</v>
      </c>
      <c r="I73" s="18">
        <v>0</v>
      </c>
      <c r="J73" s="18">
        <v>0</v>
      </c>
      <c r="K73" s="7" t="s">
        <v>618</v>
      </c>
    </row>
    <row r="74" spans="1:11" hidden="1" x14ac:dyDescent="0.3">
      <c r="A74" s="16">
        <v>46053</v>
      </c>
      <c r="B74" s="18"/>
      <c r="C74" s="10"/>
      <c r="D74" s="18" t="s">
        <v>461</v>
      </c>
      <c r="E74" s="10"/>
      <c r="F74" s="10"/>
      <c r="G74" s="18" t="s">
        <v>15</v>
      </c>
      <c r="H74" s="20">
        <v>2000</v>
      </c>
      <c r="I74" s="18">
        <v>0</v>
      </c>
      <c r="J74" s="18">
        <v>0</v>
      </c>
      <c r="K74" s="7" t="s">
        <v>618</v>
      </c>
    </row>
    <row r="75" spans="1:11" hidden="1" x14ac:dyDescent="0.3">
      <c r="A75" s="16">
        <v>46053</v>
      </c>
      <c r="B75" s="18"/>
      <c r="C75" s="10"/>
      <c r="D75" s="18" t="s">
        <v>462</v>
      </c>
      <c r="E75" s="10"/>
      <c r="F75" s="10"/>
      <c r="G75" t="s">
        <v>617</v>
      </c>
      <c r="H75" s="20">
        <v>20000</v>
      </c>
      <c r="I75" s="18">
        <v>0</v>
      </c>
      <c r="J75" s="18">
        <v>0</v>
      </c>
      <c r="K75" s="7" t="s">
        <v>618</v>
      </c>
    </row>
    <row r="76" spans="1:11" hidden="1" x14ac:dyDescent="0.3">
      <c r="A76" s="16">
        <v>46053</v>
      </c>
      <c r="B76" s="18"/>
      <c r="C76" s="10"/>
      <c r="D76" s="18" t="s">
        <v>463</v>
      </c>
      <c r="E76" s="10"/>
      <c r="F76" s="10"/>
      <c r="G76" s="18" t="s">
        <v>613</v>
      </c>
      <c r="H76" s="20">
        <v>1260</v>
      </c>
      <c r="I76" s="20">
        <v>1125</v>
      </c>
      <c r="J76" s="18">
        <v>135</v>
      </c>
      <c r="K76" s="7" t="s">
        <v>619</v>
      </c>
    </row>
    <row r="77" spans="1:11" hidden="1" x14ac:dyDescent="0.3">
      <c r="A77" s="16">
        <v>46059</v>
      </c>
      <c r="C77" s="18" t="s">
        <v>652</v>
      </c>
      <c r="D77" s="18" t="s">
        <v>653</v>
      </c>
      <c r="E77" s="18" t="s">
        <v>654</v>
      </c>
      <c r="F77" s="18">
        <v>1718</v>
      </c>
      <c r="G77" s="18" t="s">
        <v>829</v>
      </c>
      <c r="H77" s="20">
        <v>7500</v>
      </c>
      <c r="I77" s="20">
        <v>6696.43</v>
      </c>
      <c r="J77" s="18">
        <v>803.57</v>
      </c>
      <c r="K77" s="7" t="s">
        <v>619</v>
      </c>
    </row>
    <row r="78" spans="1:11" hidden="1" x14ac:dyDescent="0.3">
      <c r="A78" s="16">
        <v>46059</v>
      </c>
      <c r="C78" s="18" t="s">
        <v>652</v>
      </c>
      <c r="D78" s="18" t="s">
        <v>655</v>
      </c>
      <c r="E78" s="18" t="s">
        <v>654</v>
      </c>
      <c r="F78" s="18">
        <v>1717</v>
      </c>
      <c r="G78" s="18" t="s">
        <v>829</v>
      </c>
      <c r="H78" s="20">
        <v>8850</v>
      </c>
      <c r="I78" s="20">
        <v>7901.79</v>
      </c>
      <c r="J78" s="18">
        <v>948.21</v>
      </c>
      <c r="K78" s="7" t="s">
        <v>619</v>
      </c>
    </row>
    <row r="79" spans="1:11" hidden="1" x14ac:dyDescent="0.3">
      <c r="A79" s="16">
        <v>46058</v>
      </c>
      <c r="C79" s="18" t="s">
        <v>464</v>
      </c>
      <c r="D79" s="18" t="s">
        <v>430</v>
      </c>
      <c r="E79" s="18" t="s">
        <v>654</v>
      </c>
      <c r="F79" s="18" t="s">
        <v>656</v>
      </c>
      <c r="G79" t="s">
        <v>10</v>
      </c>
      <c r="H79" s="20">
        <v>2706</v>
      </c>
      <c r="I79" s="20">
        <v>2416.0700000000002</v>
      </c>
      <c r="J79" s="18">
        <v>289.93</v>
      </c>
      <c r="K79" s="7" t="s">
        <v>619</v>
      </c>
    </row>
    <row r="80" spans="1:11" hidden="1" x14ac:dyDescent="0.3">
      <c r="A80" s="16">
        <v>46059</v>
      </c>
      <c r="C80" s="18" t="s">
        <v>464</v>
      </c>
      <c r="D80" s="18" t="s">
        <v>430</v>
      </c>
      <c r="E80" s="18" t="s">
        <v>654</v>
      </c>
      <c r="F80" s="18" t="s">
        <v>657</v>
      </c>
      <c r="G80" t="s">
        <v>10</v>
      </c>
      <c r="H80" s="18">
        <v>459</v>
      </c>
      <c r="I80" s="18">
        <v>409.82</v>
      </c>
      <c r="J80" s="18">
        <v>49.18</v>
      </c>
      <c r="K80" s="7" t="s">
        <v>619</v>
      </c>
    </row>
    <row r="81" spans="1:11" ht="28.8" hidden="1" x14ac:dyDescent="0.3">
      <c r="A81" s="16">
        <v>46056</v>
      </c>
      <c r="C81" s="10"/>
      <c r="D81" s="18" t="s">
        <v>658</v>
      </c>
      <c r="E81" s="10"/>
      <c r="F81" s="18">
        <v>554650</v>
      </c>
      <c r="G81" s="32" t="s">
        <v>830</v>
      </c>
      <c r="H81" s="20">
        <v>3000</v>
      </c>
      <c r="I81" s="10"/>
      <c r="J81" s="10"/>
      <c r="K81" s="7" t="s">
        <v>618</v>
      </c>
    </row>
    <row r="82" spans="1:11" ht="28.8" hidden="1" x14ac:dyDescent="0.3">
      <c r="A82" s="16">
        <v>46056</v>
      </c>
      <c r="C82" s="10"/>
      <c r="D82" s="18" t="s">
        <v>658</v>
      </c>
      <c r="E82" s="10"/>
      <c r="F82" s="18">
        <v>554647</v>
      </c>
      <c r="G82" s="32" t="s">
        <v>830</v>
      </c>
      <c r="H82" s="20">
        <v>3000</v>
      </c>
      <c r="I82" s="10"/>
      <c r="J82" s="10"/>
      <c r="K82" s="7" t="s">
        <v>618</v>
      </c>
    </row>
    <row r="83" spans="1:11" hidden="1" x14ac:dyDescent="0.3">
      <c r="A83" s="16">
        <v>46059</v>
      </c>
      <c r="C83" s="18" t="s">
        <v>471</v>
      </c>
      <c r="D83" s="18" t="s">
        <v>437</v>
      </c>
      <c r="E83" s="18" t="s">
        <v>482</v>
      </c>
      <c r="F83" s="18" t="s">
        <v>659</v>
      </c>
      <c r="G83" t="s">
        <v>831</v>
      </c>
      <c r="H83" s="18">
        <v>135</v>
      </c>
      <c r="I83" s="18">
        <v>120.54</v>
      </c>
      <c r="J83" s="18">
        <v>14.46</v>
      </c>
      <c r="K83" s="7" t="s">
        <v>619</v>
      </c>
    </row>
    <row r="84" spans="1:11" hidden="1" x14ac:dyDescent="0.3">
      <c r="A84" s="16">
        <v>46059</v>
      </c>
      <c r="C84" s="18" t="s">
        <v>466</v>
      </c>
      <c r="D84" s="18" t="s">
        <v>432</v>
      </c>
      <c r="E84" s="18" t="s">
        <v>480</v>
      </c>
      <c r="F84" s="18" t="s">
        <v>660</v>
      </c>
      <c r="G84" t="s">
        <v>831</v>
      </c>
      <c r="H84" s="18">
        <v>49</v>
      </c>
      <c r="I84" s="18">
        <v>43.75</v>
      </c>
      <c r="J84" s="18">
        <v>5.25</v>
      </c>
      <c r="K84" s="7" t="s">
        <v>619</v>
      </c>
    </row>
    <row r="85" spans="1:11" hidden="1" x14ac:dyDescent="0.3">
      <c r="A85" s="16">
        <v>46059</v>
      </c>
      <c r="C85" s="18" t="s">
        <v>469</v>
      </c>
      <c r="D85" s="18" t="s">
        <v>435</v>
      </c>
      <c r="E85" s="18" t="s">
        <v>482</v>
      </c>
      <c r="F85" s="18" t="s">
        <v>661</v>
      </c>
      <c r="G85" t="s">
        <v>831</v>
      </c>
      <c r="H85" s="18">
        <v>160</v>
      </c>
      <c r="I85" s="18">
        <v>142.86000000000001</v>
      </c>
      <c r="J85" s="18">
        <v>17.14</v>
      </c>
      <c r="K85" s="7" t="s">
        <v>619</v>
      </c>
    </row>
    <row r="86" spans="1:11" hidden="1" x14ac:dyDescent="0.3">
      <c r="A86" s="16">
        <v>46059</v>
      </c>
      <c r="C86" s="18" t="s">
        <v>470</v>
      </c>
      <c r="D86" s="18" t="s">
        <v>436</v>
      </c>
      <c r="E86" s="18" t="s">
        <v>482</v>
      </c>
      <c r="F86" s="18" t="s">
        <v>662</v>
      </c>
      <c r="G86" t="s">
        <v>831</v>
      </c>
      <c r="H86" s="18">
        <v>164</v>
      </c>
      <c r="I86" s="18">
        <v>146.43</v>
      </c>
      <c r="J86" s="18">
        <v>17.57</v>
      </c>
      <c r="K86" s="7" t="s">
        <v>619</v>
      </c>
    </row>
    <row r="87" spans="1:11" hidden="1" x14ac:dyDescent="0.3">
      <c r="A87" s="16">
        <v>46059</v>
      </c>
      <c r="C87" s="18" t="s">
        <v>471</v>
      </c>
      <c r="D87" s="18" t="s">
        <v>437</v>
      </c>
      <c r="E87" s="18" t="s">
        <v>482</v>
      </c>
      <c r="F87" s="18" t="s">
        <v>663</v>
      </c>
      <c r="G87" t="s">
        <v>831</v>
      </c>
      <c r="H87" s="18">
        <v>129</v>
      </c>
      <c r="I87" s="18">
        <v>115.18</v>
      </c>
      <c r="J87" s="18">
        <v>13.82</v>
      </c>
      <c r="K87" s="7" t="s">
        <v>619</v>
      </c>
    </row>
    <row r="88" spans="1:11" hidden="1" x14ac:dyDescent="0.3">
      <c r="A88" s="16">
        <v>46059</v>
      </c>
      <c r="C88" s="18" t="s">
        <v>471</v>
      </c>
      <c r="D88" s="18" t="s">
        <v>437</v>
      </c>
      <c r="E88" s="18" t="s">
        <v>482</v>
      </c>
      <c r="F88" s="18" t="s">
        <v>664</v>
      </c>
      <c r="G88" t="s">
        <v>831</v>
      </c>
      <c r="H88" s="18">
        <v>264</v>
      </c>
      <c r="I88" s="18">
        <v>235.71</v>
      </c>
      <c r="J88" s="18">
        <v>28.29</v>
      </c>
      <c r="K88" s="7" t="s">
        <v>619</v>
      </c>
    </row>
    <row r="89" spans="1:11" hidden="1" x14ac:dyDescent="0.3">
      <c r="A89" s="16">
        <v>46059</v>
      </c>
      <c r="C89" s="18" t="s">
        <v>466</v>
      </c>
      <c r="D89" s="18" t="s">
        <v>432</v>
      </c>
      <c r="E89" s="18" t="s">
        <v>480</v>
      </c>
      <c r="F89" s="18" t="s">
        <v>665</v>
      </c>
      <c r="G89" t="s">
        <v>831</v>
      </c>
      <c r="H89" s="18">
        <v>49</v>
      </c>
      <c r="I89" s="18">
        <v>43.75</v>
      </c>
      <c r="J89" s="18">
        <v>5.25</v>
      </c>
      <c r="K89" s="7" t="s">
        <v>619</v>
      </c>
    </row>
    <row r="90" spans="1:11" hidden="1" x14ac:dyDescent="0.3">
      <c r="A90" s="16">
        <v>46059</v>
      </c>
      <c r="C90" s="18" t="s">
        <v>469</v>
      </c>
      <c r="D90" s="18" t="s">
        <v>435</v>
      </c>
      <c r="E90" s="18" t="s">
        <v>482</v>
      </c>
      <c r="F90" s="18" t="s">
        <v>666</v>
      </c>
      <c r="G90" t="s">
        <v>831</v>
      </c>
      <c r="H90" s="18">
        <v>164</v>
      </c>
      <c r="I90" s="18">
        <v>146.43</v>
      </c>
      <c r="J90" s="18">
        <v>17.57</v>
      </c>
      <c r="K90" s="7" t="s">
        <v>619</v>
      </c>
    </row>
    <row r="91" spans="1:11" hidden="1" x14ac:dyDescent="0.3">
      <c r="A91" s="16">
        <v>46056</v>
      </c>
      <c r="C91" s="18" t="s">
        <v>466</v>
      </c>
      <c r="D91" s="18" t="s">
        <v>432</v>
      </c>
      <c r="E91" s="18" t="s">
        <v>480</v>
      </c>
      <c r="F91" s="18" t="s">
        <v>667</v>
      </c>
      <c r="G91" t="s">
        <v>831</v>
      </c>
      <c r="H91" s="18">
        <v>35</v>
      </c>
      <c r="I91" s="18">
        <v>31.25</v>
      </c>
      <c r="J91" s="18">
        <v>3.75</v>
      </c>
      <c r="K91" s="7" t="s">
        <v>619</v>
      </c>
    </row>
    <row r="92" spans="1:11" hidden="1" x14ac:dyDescent="0.3">
      <c r="A92" s="16">
        <v>46056</v>
      </c>
      <c r="C92" s="18" t="s">
        <v>466</v>
      </c>
      <c r="D92" s="18" t="s">
        <v>432</v>
      </c>
      <c r="E92" s="18" t="s">
        <v>480</v>
      </c>
      <c r="F92" s="18" t="s">
        <v>668</v>
      </c>
      <c r="G92" t="s">
        <v>831</v>
      </c>
      <c r="H92" s="18">
        <v>35</v>
      </c>
      <c r="I92" s="18">
        <v>31.25</v>
      </c>
      <c r="J92" s="18">
        <v>3.75</v>
      </c>
      <c r="K92" s="7" t="s">
        <v>619</v>
      </c>
    </row>
    <row r="93" spans="1:11" hidden="1" x14ac:dyDescent="0.3">
      <c r="A93" s="16">
        <v>46055</v>
      </c>
      <c r="C93" s="18" t="s">
        <v>466</v>
      </c>
      <c r="D93" s="18" t="s">
        <v>432</v>
      </c>
      <c r="E93" s="18" t="s">
        <v>480</v>
      </c>
      <c r="F93" s="18" t="s">
        <v>669</v>
      </c>
      <c r="G93" t="s">
        <v>831</v>
      </c>
      <c r="H93" s="18">
        <v>35</v>
      </c>
      <c r="I93" s="18">
        <v>31.25</v>
      </c>
      <c r="J93" s="18">
        <v>3.75</v>
      </c>
      <c r="K93" s="7" t="s">
        <v>619</v>
      </c>
    </row>
    <row r="94" spans="1:11" hidden="1" x14ac:dyDescent="0.3">
      <c r="A94" s="16">
        <v>46057</v>
      </c>
      <c r="C94" s="18" t="s">
        <v>465</v>
      </c>
      <c r="D94" s="18" t="s">
        <v>431</v>
      </c>
      <c r="E94" s="18" t="s">
        <v>480</v>
      </c>
      <c r="F94" s="10"/>
      <c r="G94" s="32" t="s">
        <v>6</v>
      </c>
      <c r="H94" s="20">
        <v>2000</v>
      </c>
      <c r="I94" s="20">
        <v>1785.71</v>
      </c>
      <c r="J94" s="18">
        <v>214.29</v>
      </c>
      <c r="K94" s="7" t="s">
        <v>619</v>
      </c>
    </row>
    <row r="95" spans="1:11" ht="28.8" hidden="1" x14ac:dyDescent="0.3">
      <c r="A95" s="16">
        <v>46069</v>
      </c>
      <c r="C95" s="18" t="s">
        <v>476</v>
      </c>
      <c r="D95" s="18" t="s">
        <v>670</v>
      </c>
      <c r="E95" s="18" t="s">
        <v>671</v>
      </c>
      <c r="F95" s="18">
        <v>120</v>
      </c>
      <c r="G95" s="32" t="s">
        <v>830</v>
      </c>
      <c r="H95" s="20">
        <v>31320</v>
      </c>
      <c r="I95" s="20">
        <v>27964.29</v>
      </c>
      <c r="J95" s="20">
        <v>3355.71</v>
      </c>
      <c r="K95" s="7" t="s">
        <v>619</v>
      </c>
    </row>
    <row r="96" spans="1:11" hidden="1" x14ac:dyDescent="0.3">
      <c r="A96" s="16">
        <v>46069</v>
      </c>
      <c r="C96" s="18" t="s">
        <v>464</v>
      </c>
      <c r="D96" s="18" t="s">
        <v>430</v>
      </c>
      <c r="E96" s="18" t="s">
        <v>654</v>
      </c>
      <c r="F96" s="18" t="s">
        <v>672</v>
      </c>
      <c r="G96" s="18" t="s">
        <v>10</v>
      </c>
      <c r="H96" s="20">
        <v>1412</v>
      </c>
      <c r="I96" s="20">
        <v>1260.71</v>
      </c>
      <c r="J96" s="18">
        <v>151.29</v>
      </c>
      <c r="K96" s="7" t="s">
        <v>619</v>
      </c>
    </row>
    <row r="97" spans="1:11" hidden="1" x14ac:dyDescent="0.3">
      <c r="A97" s="16">
        <v>46069</v>
      </c>
      <c r="C97" s="18" t="s">
        <v>673</v>
      </c>
      <c r="D97" s="18" t="s">
        <v>674</v>
      </c>
      <c r="E97" s="18" t="s">
        <v>654</v>
      </c>
      <c r="F97" s="18">
        <v>313396</v>
      </c>
      <c r="G97" t="s">
        <v>14</v>
      </c>
      <c r="H97" s="20">
        <v>1833</v>
      </c>
      <c r="I97" s="20">
        <v>1636.61</v>
      </c>
      <c r="J97" s="18">
        <v>196.39</v>
      </c>
      <c r="K97" s="7" t="s">
        <v>619</v>
      </c>
    </row>
    <row r="98" spans="1:11" hidden="1" x14ac:dyDescent="0.3">
      <c r="A98" s="16">
        <v>46071</v>
      </c>
      <c r="C98" s="18" t="s">
        <v>479</v>
      </c>
      <c r="D98" s="18" t="s">
        <v>456</v>
      </c>
      <c r="E98" s="18" t="s">
        <v>654</v>
      </c>
      <c r="F98" s="18">
        <v>9298</v>
      </c>
      <c r="G98" s="18" t="s">
        <v>10</v>
      </c>
      <c r="H98" s="20">
        <v>9753.4699999999993</v>
      </c>
      <c r="I98" s="20">
        <v>8708.4599999999991</v>
      </c>
      <c r="J98" s="20">
        <v>1045.01</v>
      </c>
      <c r="K98" s="7" t="s">
        <v>619</v>
      </c>
    </row>
    <row r="99" spans="1:11" hidden="1" x14ac:dyDescent="0.3">
      <c r="A99" s="16">
        <v>46071</v>
      </c>
      <c r="C99" s="18" t="s">
        <v>675</v>
      </c>
      <c r="D99" s="18" t="s">
        <v>676</v>
      </c>
      <c r="E99" s="18" t="s">
        <v>482</v>
      </c>
      <c r="F99" s="18" t="s">
        <v>677</v>
      </c>
      <c r="G99" t="s">
        <v>832</v>
      </c>
      <c r="H99" s="20">
        <v>38006</v>
      </c>
      <c r="I99" s="20">
        <v>33933.93</v>
      </c>
      <c r="J99" s="20">
        <v>4072.07</v>
      </c>
      <c r="K99" s="7" t="s">
        <v>619</v>
      </c>
    </row>
    <row r="100" spans="1:11" hidden="1" x14ac:dyDescent="0.3">
      <c r="A100" s="16">
        <v>46071</v>
      </c>
      <c r="C100" s="18" t="s">
        <v>675</v>
      </c>
      <c r="D100" s="18" t="s">
        <v>676</v>
      </c>
      <c r="E100" s="18" t="s">
        <v>482</v>
      </c>
      <c r="F100" s="18" t="s">
        <v>678</v>
      </c>
      <c r="G100" t="s">
        <v>832</v>
      </c>
      <c r="H100" s="20">
        <v>9408</v>
      </c>
      <c r="I100" s="20">
        <v>8400</v>
      </c>
      <c r="J100" s="20">
        <v>1008</v>
      </c>
      <c r="K100" s="7" t="s">
        <v>619</v>
      </c>
    </row>
    <row r="101" spans="1:11" hidden="1" x14ac:dyDescent="0.3">
      <c r="A101" s="16">
        <v>46071</v>
      </c>
      <c r="C101" s="18" t="s">
        <v>465</v>
      </c>
      <c r="D101" s="18" t="s">
        <v>431</v>
      </c>
      <c r="E101" s="18" t="s">
        <v>679</v>
      </c>
      <c r="F101" s="18" t="s">
        <v>465</v>
      </c>
      <c r="G101" s="18" t="s">
        <v>611</v>
      </c>
      <c r="H101" s="20">
        <v>1000</v>
      </c>
      <c r="I101" s="18">
        <v>892.86</v>
      </c>
      <c r="J101" s="18">
        <v>107.14</v>
      </c>
      <c r="K101" s="7" t="s">
        <v>619</v>
      </c>
    </row>
    <row r="102" spans="1:11" hidden="1" x14ac:dyDescent="0.3">
      <c r="A102" s="16">
        <v>46071</v>
      </c>
      <c r="C102" s="18" t="s">
        <v>466</v>
      </c>
      <c r="D102" s="18" t="s">
        <v>432</v>
      </c>
      <c r="E102" s="18" t="s">
        <v>480</v>
      </c>
      <c r="F102" s="18" t="s">
        <v>680</v>
      </c>
      <c r="G102" s="18" t="s">
        <v>831</v>
      </c>
      <c r="H102" s="18">
        <v>35</v>
      </c>
      <c r="I102" s="18">
        <v>31.25</v>
      </c>
      <c r="J102" s="18">
        <v>3.75</v>
      </c>
      <c r="K102" s="7" t="s">
        <v>619</v>
      </c>
    </row>
    <row r="103" spans="1:11" hidden="1" x14ac:dyDescent="0.3">
      <c r="A103" s="16">
        <v>46073</v>
      </c>
      <c r="C103" s="10"/>
      <c r="D103" s="18" t="s">
        <v>89</v>
      </c>
      <c r="E103" s="18" t="s">
        <v>480</v>
      </c>
      <c r="F103" s="10"/>
      <c r="G103" s="18" t="s">
        <v>10</v>
      </c>
      <c r="H103" s="20">
        <v>6608</v>
      </c>
      <c r="I103" s="10"/>
      <c r="J103" s="10"/>
      <c r="K103" s="7" t="s">
        <v>618</v>
      </c>
    </row>
    <row r="104" spans="1:11" hidden="1" x14ac:dyDescent="0.3">
      <c r="A104" s="16">
        <v>46073</v>
      </c>
      <c r="C104" s="18" t="s">
        <v>465</v>
      </c>
      <c r="D104" s="18" t="s">
        <v>431</v>
      </c>
      <c r="E104" s="18" t="s">
        <v>480</v>
      </c>
      <c r="F104" s="10"/>
      <c r="G104" s="18" t="s">
        <v>6</v>
      </c>
      <c r="H104" s="20">
        <v>1400</v>
      </c>
      <c r="I104" s="20">
        <v>1250</v>
      </c>
      <c r="J104" s="18">
        <v>150</v>
      </c>
      <c r="K104" s="7" t="s">
        <v>619</v>
      </c>
    </row>
    <row r="105" spans="1:11" hidden="1" x14ac:dyDescent="0.3">
      <c r="A105" s="16">
        <v>46072</v>
      </c>
      <c r="C105" s="18" t="s">
        <v>466</v>
      </c>
      <c r="D105" s="18" t="s">
        <v>432</v>
      </c>
      <c r="E105" s="18" t="s">
        <v>480</v>
      </c>
      <c r="F105" s="18" t="s">
        <v>681</v>
      </c>
      <c r="G105" s="18" t="s">
        <v>831</v>
      </c>
      <c r="H105" s="18">
        <v>35</v>
      </c>
      <c r="I105" s="18">
        <v>31.25</v>
      </c>
      <c r="J105" s="18">
        <v>3.75</v>
      </c>
      <c r="K105" s="7" t="s">
        <v>619</v>
      </c>
    </row>
    <row r="106" spans="1:11" hidden="1" x14ac:dyDescent="0.3">
      <c r="A106" s="16">
        <v>46072</v>
      </c>
      <c r="C106" s="18" t="s">
        <v>466</v>
      </c>
      <c r="D106" s="18" t="s">
        <v>432</v>
      </c>
      <c r="E106" s="18" t="s">
        <v>480</v>
      </c>
      <c r="F106" s="18" t="s">
        <v>682</v>
      </c>
      <c r="G106" s="18" t="s">
        <v>831</v>
      </c>
      <c r="H106" s="18">
        <v>64</v>
      </c>
      <c r="I106" s="18">
        <v>57.14</v>
      </c>
      <c r="J106" s="18">
        <v>6.86</v>
      </c>
      <c r="K106" s="7" t="s">
        <v>619</v>
      </c>
    </row>
    <row r="107" spans="1:11" hidden="1" x14ac:dyDescent="0.3">
      <c r="A107" s="16">
        <v>46072</v>
      </c>
      <c r="C107" s="18" t="s">
        <v>466</v>
      </c>
      <c r="D107" s="18" t="s">
        <v>432</v>
      </c>
      <c r="E107" s="18" t="s">
        <v>480</v>
      </c>
      <c r="F107" s="18" t="s">
        <v>683</v>
      </c>
      <c r="G107" s="18" t="s">
        <v>831</v>
      </c>
      <c r="H107" s="18">
        <v>64</v>
      </c>
      <c r="I107" s="18">
        <v>57.14</v>
      </c>
      <c r="J107" s="18">
        <v>6.86</v>
      </c>
      <c r="K107" s="7" t="s">
        <v>619</v>
      </c>
    </row>
    <row r="108" spans="1:11" hidden="1" x14ac:dyDescent="0.3">
      <c r="A108" s="16">
        <v>46072</v>
      </c>
      <c r="C108" s="18" t="s">
        <v>466</v>
      </c>
      <c r="D108" s="18" t="s">
        <v>432</v>
      </c>
      <c r="E108" s="18" t="s">
        <v>480</v>
      </c>
      <c r="F108" s="18" t="s">
        <v>684</v>
      </c>
      <c r="G108" s="18" t="s">
        <v>831</v>
      </c>
      <c r="H108" s="18">
        <v>35</v>
      </c>
      <c r="I108" s="18">
        <v>31.25</v>
      </c>
      <c r="J108" s="18">
        <v>3.75</v>
      </c>
      <c r="K108" s="7" t="s">
        <v>619</v>
      </c>
    </row>
    <row r="109" spans="1:11" hidden="1" x14ac:dyDescent="0.3">
      <c r="A109" s="16">
        <v>46072</v>
      </c>
      <c r="C109" s="18" t="s">
        <v>466</v>
      </c>
      <c r="D109" s="18" t="s">
        <v>432</v>
      </c>
      <c r="E109" s="18" t="s">
        <v>480</v>
      </c>
      <c r="F109" s="18" t="s">
        <v>685</v>
      </c>
      <c r="G109" s="18" t="s">
        <v>831</v>
      </c>
      <c r="H109" s="18">
        <v>35</v>
      </c>
      <c r="I109" s="18">
        <v>31.25</v>
      </c>
      <c r="J109" s="18">
        <v>3.75</v>
      </c>
      <c r="K109" s="7" t="s">
        <v>619</v>
      </c>
    </row>
    <row r="110" spans="1:11" hidden="1" x14ac:dyDescent="0.3">
      <c r="A110" s="16">
        <v>46073</v>
      </c>
      <c r="C110" s="18" t="s">
        <v>466</v>
      </c>
      <c r="D110" s="18" t="s">
        <v>432</v>
      </c>
      <c r="E110" s="18" t="s">
        <v>480</v>
      </c>
      <c r="F110" s="18" t="s">
        <v>686</v>
      </c>
      <c r="G110" s="18" t="s">
        <v>831</v>
      </c>
      <c r="H110" s="18">
        <v>64</v>
      </c>
      <c r="I110" s="18">
        <v>57.14</v>
      </c>
      <c r="J110" s="18">
        <v>6.86</v>
      </c>
      <c r="K110" s="7" t="s">
        <v>619</v>
      </c>
    </row>
    <row r="111" spans="1:11" hidden="1" x14ac:dyDescent="0.3">
      <c r="A111" s="16">
        <v>46073</v>
      </c>
      <c r="C111" s="18" t="s">
        <v>466</v>
      </c>
      <c r="D111" s="18" t="s">
        <v>432</v>
      </c>
      <c r="E111" s="18" t="s">
        <v>480</v>
      </c>
      <c r="F111" s="18" t="s">
        <v>687</v>
      </c>
      <c r="G111" s="18" t="s">
        <v>831</v>
      </c>
      <c r="H111" s="18">
        <v>64</v>
      </c>
      <c r="I111" s="18">
        <v>57.14</v>
      </c>
      <c r="J111" s="18">
        <v>6.86</v>
      </c>
      <c r="K111" s="7" t="s">
        <v>619</v>
      </c>
    </row>
    <row r="112" spans="1:11" hidden="1" x14ac:dyDescent="0.3">
      <c r="A112" s="16">
        <v>46073</v>
      </c>
      <c r="C112" s="18" t="s">
        <v>466</v>
      </c>
      <c r="D112" s="18" t="s">
        <v>432</v>
      </c>
      <c r="E112" s="18" t="s">
        <v>480</v>
      </c>
      <c r="F112" s="18" t="s">
        <v>688</v>
      </c>
      <c r="G112" s="18" t="s">
        <v>831</v>
      </c>
      <c r="H112" s="18">
        <v>35</v>
      </c>
      <c r="I112" s="18">
        <v>31.25</v>
      </c>
      <c r="J112" s="18">
        <v>3.75</v>
      </c>
      <c r="K112" s="7" t="s">
        <v>619</v>
      </c>
    </row>
    <row r="113" spans="1:11" hidden="1" x14ac:dyDescent="0.3">
      <c r="A113" s="16">
        <v>46073</v>
      </c>
      <c r="C113" s="18" t="s">
        <v>466</v>
      </c>
      <c r="D113" s="18" t="s">
        <v>432</v>
      </c>
      <c r="E113" s="18" t="s">
        <v>480</v>
      </c>
      <c r="F113" s="18" t="s">
        <v>689</v>
      </c>
      <c r="G113" s="18" t="s">
        <v>831</v>
      </c>
      <c r="H113" s="18">
        <v>35</v>
      </c>
      <c r="I113" s="18">
        <v>31.25</v>
      </c>
      <c r="J113" s="18">
        <v>3.75</v>
      </c>
      <c r="K113" s="7" t="s">
        <v>619</v>
      </c>
    </row>
    <row r="114" spans="1:11" hidden="1" x14ac:dyDescent="0.3">
      <c r="A114" s="16">
        <v>46072</v>
      </c>
      <c r="C114" s="10"/>
      <c r="D114" s="18" t="s">
        <v>658</v>
      </c>
      <c r="E114" s="18" t="s">
        <v>690</v>
      </c>
      <c r="F114" s="18">
        <v>5562714</v>
      </c>
      <c r="G114" s="18" t="s">
        <v>830</v>
      </c>
      <c r="H114" s="20">
        <v>4000</v>
      </c>
      <c r="I114" s="10"/>
      <c r="J114" s="10"/>
      <c r="K114" s="7" t="s">
        <v>618</v>
      </c>
    </row>
    <row r="115" spans="1:11" hidden="1" x14ac:dyDescent="0.3">
      <c r="A115" s="16">
        <v>46072</v>
      </c>
      <c r="C115" s="18" t="s">
        <v>691</v>
      </c>
      <c r="D115" s="18" t="s">
        <v>692</v>
      </c>
      <c r="E115" s="18" t="s">
        <v>482</v>
      </c>
      <c r="F115" s="18">
        <v>2254</v>
      </c>
      <c r="G115" s="18" t="s">
        <v>14</v>
      </c>
      <c r="H115" s="20">
        <v>1903</v>
      </c>
      <c r="I115" s="20">
        <v>1699.11</v>
      </c>
      <c r="J115" s="18">
        <v>203.89</v>
      </c>
      <c r="K115" s="7" t="s">
        <v>619</v>
      </c>
    </row>
    <row r="116" spans="1:11" hidden="1" x14ac:dyDescent="0.3">
      <c r="A116" s="16">
        <v>46072</v>
      </c>
      <c r="C116" s="10"/>
      <c r="D116" s="18" t="s">
        <v>693</v>
      </c>
      <c r="E116" s="10"/>
      <c r="F116" s="10"/>
      <c r="G116" s="18" t="s">
        <v>14</v>
      </c>
      <c r="H116" s="20">
        <v>2392</v>
      </c>
      <c r="I116" s="10"/>
      <c r="J116" s="10"/>
      <c r="K116" s="7" t="s">
        <v>618</v>
      </c>
    </row>
    <row r="117" spans="1:11" hidden="1" x14ac:dyDescent="0.3">
      <c r="A117" s="16">
        <v>46078</v>
      </c>
      <c r="C117" s="18" t="s">
        <v>464</v>
      </c>
      <c r="D117" s="18" t="s">
        <v>430</v>
      </c>
      <c r="E117" s="18" t="s">
        <v>695</v>
      </c>
      <c r="F117" s="18" t="s">
        <v>694</v>
      </c>
      <c r="G117" s="18" t="s">
        <v>10</v>
      </c>
      <c r="H117" s="18">
        <v>459</v>
      </c>
      <c r="I117" s="18">
        <v>409.82</v>
      </c>
      <c r="J117" s="18">
        <v>49.18</v>
      </c>
      <c r="K117" s="7" t="s">
        <v>619</v>
      </c>
    </row>
    <row r="118" spans="1:11" hidden="1" x14ac:dyDescent="0.3">
      <c r="A118" s="16">
        <v>46080</v>
      </c>
      <c r="C118" s="18" t="s">
        <v>696</v>
      </c>
      <c r="D118" s="18" t="s">
        <v>697</v>
      </c>
      <c r="E118" s="18" t="s">
        <v>695</v>
      </c>
      <c r="F118" s="18">
        <v>22163</v>
      </c>
      <c r="G118" s="18" t="s">
        <v>14</v>
      </c>
      <c r="H118" s="18">
        <v>775</v>
      </c>
      <c r="I118" s="18">
        <v>691.96</v>
      </c>
      <c r="J118" s="18">
        <v>83.04</v>
      </c>
      <c r="K118" s="7" t="s">
        <v>619</v>
      </c>
    </row>
    <row r="119" spans="1:11" hidden="1" x14ac:dyDescent="0.3">
      <c r="A119" s="16">
        <v>46080</v>
      </c>
      <c r="C119" s="18" t="s">
        <v>696</v>
      </c>
      <c r="D119" s="18" t="s">
        <v>697</v>
      </c>
      <c r="E119" s="18" t="s">
        <v>695</v>
      </c>
      <c r="F119" s="18">
        <v>22165</v>
      </c>
      <c r="G119" s="18" t="s">
        <v>14</v>
      </c>
      <c r="H119" s="20">
        <v>1000</v>
      </c>
      <c r="I119" s="18">
        <v>892.86</v>
      </c>
      <c r="J119" s="18">
        <v>107.14</v>
      </c>
      <c r="K119" s="7" t="s">
        <v>619</v>
      </c>
    </row>
    <row r="120" spans="1:11" hidden="1" x14ac:dyDescent="0.3">
      <c r="A120" s="16">
        <v>46080</v>
      </c>
      <c r="C120" s="18" t="s">
        <v>464</v>
      </c>
      <c r="D120" s="18" t="s">
        <v>430</v>
      </c>
      <c r="E120" s="18" t="s">
        <v>654</v>
      </c>
      <c r="F120" s="18" t="s">
        <v>698</v>
      </c>
      <c r="G120" s="18" t="s">
        <v>10</v>
      </c>
      <c r="H120" s="20">
        <v>1442</v>
      </c>
      <c r="I120" s="20">
        <v>1287.5</v>
      </c>
      <c r="J120" s="18">
        <v>154.5</v>
      </c>
      <c r="K120" s="7" t="s">
        <v>619</v>
      </c>
    </row>
    <row r="121" spans="1:11" hidden="1" x14ac:dyDescent="0.3">
      <c r="A121" s="16">
        <v>46080</v>
      </c>
      <c r="C121" s="18" t="s">
        <v>466</v>
      </c>
      <c r="D121" s="18" t="s">
        <v>432</v>
      </c>
      <c r="E121" s="18" t="s">
        <v>480</v>
      </c>
      <c r="F121" s="18" t="s">
        <v>699</v>
      </c>
      <c r="G121" s="18" t="s">
        <v>831</v>
      </c>
      <c r="H121" s="18">
        <v>64</v>
      </c>
      <c r="I121" s="18">
        <v>57.14</v>
      </c>
      <c r="J121" s="18">
        <v>6.86</v>
      </c>
      <c r="K121" s="7" t="s">
        <v>619</v>
      </c>
    </row>
    <row r="122" spans="1:11" hidden="1" x14ac:dyDescent="0.3">
      <c r="A122" s="16">
        <v>46080</v>
      </c>
      <c r="C122" s="18" t="s">
        <v>466</v>
      </c>
      <c r="D122" s="18" t="s">
        <v>432</v>
      </c>
      <c r="E122" s="18" t="s">
        <v>480</v>
      </c>
      <c r="F122" s="18" t="s">
        <v>700</v>
      </c>
      <c r="G122" s="18" t="s">
        <v>831</v>
      </c>
      <c r="H122" s="18">
        <v>64</v>
      </c>
      <c r="I122" s="18">
        <v>57.14</v>
      </c>
      <c r="J122" s="18">
        <v>6.86</v>
      </c>
      <c r="K122" s="7" t="s">
        <v>619</v>
      </c>
    </row>
    <row r="123" spans="1:11" hidden="1" x14ac:dyDescent="0.3">
      <c r="A123" s="16">
        <v>46059</v>
      </c>
      <c r="C123" s="10"/>
      <c r="D123" s="18" t="s">
        <v>438</v>
      </c>
      <c r="E123" s="10"/>
      <c r="F123" s="10"/>
      <c r="G123" s="18" t="s">
        <v>833</v>
      </c>
      <c r="H123" s="20">
        <v>6892</v>
      </c>
      <c r="I123" s="18">
        <v>0</v>
      </c>
      <c r="J123" s="18">
        <v>0</v>
      </c>
      <c r="K123" s="7" t="s">
        <v>618</v>
      </c>
    </row>
    <row r="124" spans="1:11" hidden="1" x14ac:dyDescent="0.3">
      <c r="A124" s="16">
        <v>46081</v>
      </c>
      <c r="C124" s="10"/>
      <c r="D124" s="18" t="s">
        <v>459</v>
      </c>
      <c r="E124" s="10"/>
      <c r="F124" s="10"/>
      <c r="G124" s="18" t="s">
        <v>833</v>
      </c>
      <c r="H124" s="20">
        <v>15000</v>
      </c>
      <c r="I124" s="18">
        <v>0</v>
      </c>
      <c r="J124" s="18">
        <v>0</v>
      </c>
      <c r="K124" s="7" t="s">
        <v>618</v>
      </c>
    </row>
    <row r="125" spans="1:11" hidden="1" x14ac:dyDescent="0.3">
      <c r="A125" s="16">
        <v>46081</v>
      </c>
      <c r="C125" s="10"/>
      <c r="D125" s="18" t="s">
        <v>460</v>
      </c>
      <c r="E125" s="10"/>
      <c r="F125" s="10"/>
      <c r="G125" s="18" t="s">
        <v>833</v>
      </c>
      <c r="H125" s="20">
        <v>15000</v>
      </c>
      <c r="I125" s="18">
        <v>0</v>
      </c>
      <c r="J125" s="18">
        <v>0</v>
      </c>
      <c r="K125" s="7" t="s">
        <v>618</v>
      </c>
    </row>
    <row r="126" spans="1:11" hidden="1" x14ac:dyDescent="0.3">
      <c r="A126" s="16">
        <v>46081</v>
      </c>
      <c r="C126" s="10"/>
      <c r="D126" s="18" t="s">
        <v>461</v>
      </c>
      <c r="E126" s="10"/>
      <c r="F126" s="10"/>
      <c r="G126" s="18" t="s">
        <v>833</v>
      </c>
      <c r="H126" s="20">
        <v>2000</v>
      </c>
      <c r="I126" s="18">
        <v>0</v>
      </c>
      <c r="J126" s="18">
        <v>0</v>
      </c>
      <c r="K126" s="7" t="s">
        <v>618</v>
      </c>
    </row>
    <row r="127" spans="1:11" hidden="1" x14ac:dyDescent="0.3">
      <c r="A127" s="16">
        <v>46081</v>
      </c>
      <c r="C127" s="10"/>
      <c r="D127" s="18" t="s">
        <v>462</v>
      </c>
      <c r="E127" s="10"/>
      <c r="F127" s="10"/>
      <c r="G127" s="18" t="s">
        <v>832</v>
      </c>
      <c r="H127" s="20">
        <v>20000</v>
      </c>
      <c r="I127" s="18">
        <v>0</v>
      </c>
      <c r="J127" s="18">
        <v>0</v>
      </c>
      <c r="K127" s="7" t="s">
        <v>618</v>
      </c>
    </row>
    <row r="128" spans="1:11" hidden="1" x14ac:dyDescent="0.3">
      <c r="A128" s="16">
        <v>46081</v>
      </c>
      <c r="C128" s="10"/>
      <c r="D128" s="18" t="s">
        <v>463</v>
      </c>
      <c r="E128" s="10"/>
      <c r="F128" s="10"/>
      <c r="G128" s="18" t="s">
        <v>613</v>
      </c>
      <c r="H128" s="20">
        <v>1260</v>
      </c>
      <c r="I128" s="18">
        <v>0</v>
      </c>
      <c r="J128" s="18">
        <v>0</v>
      </c>
      <c r="K128" s="7" t="s">
        <v>618</v>
      </c>
    </row>
    <row r="129" spans="1:11" hidden="1" x14ac:dyDescent="0.3">
      <c r="A129" s="16">
        <v>46083</v>
      </c>
      <c r="C129" s="18" t="s">
        <v>479</v>
      </c>
      <c r="D129" s="18" t="s">
        <v>701</v>
      </c>
      <c r="E129" s="18" t="s">
        <v>480</v>
      </c>
      <c r="F129" s="18">
        <v>60302</v>
      </c>
      <c r="G129" s="18" t="s">
        <v>610</v>
      </c>
      <c r="H129" s="20">
        <v>6413.05</v>
      </c>
      <c r="I129" s="20">
        <v>5725.94</v>
      </c>
      <c r="J129" s="18">
        <v>687.11</v>
      </c>
      <c r="K129" s="7" t="s">
        <v>619</v>
      </c>
    </row>
    <row r="130" spans="1:11" hidden="1" x14ac:dyDescent="0.3">
      <c r="A130" s="16">
        <v>46083</v>
      </c>
      <c r="C130" s="18" t="s">
        <v>702</v>
      </c>
      <c r="D130" s="18" t="s">
        <v>703</v>
      </c>
      <c r="E130" s="18" t="s">
        <v>704</v>
      </c>
      <c r="F130" s="18">
        <v>15928</v>
      </c>
      <c r="G130" s="18" t="s">
        <v>830</v>
      </c>
      <c r="H130" s="20">
        <v>145986.26</v>
      </c>
      <c r="I130" s="20">
        <v>130344.88</v>
      </c>
      <c r="J130" s="20">
        <v>15641.39</v>
      </c>
      <c r="K130" s="7" t="s">
        <v>619</v>
      </c>
    </row>
    <row r="131" spans="1:11" hidden="1" x14ac:dyDescent="0.3">
      <c r="A131" s="16">
        <v>46083</v>
      </c>
      <c r="C131" s="18" t="s">
        <v>465</v>
      </c>
      <c r="D131" s="18" t="s">
        <v>431</v>
      </c>
      <c r="E131" s="18" t="s">
        <v>480</v>
      </c>
      <c r="F131" s="10"/>
      <c r="G131" s="18" t="s">
        <v>6</v>
      </c>
      <c r="H131" s="20">
        <v>3567.43</v>
      </c>
      <c r="I131" s="20">
        <v>3185.21</v>
      </c>
      <c r="J131" s="18">
        <v>382.22</v>
      </c>
      <c r="K131" s="7" t="s">
        <v>619</v>
      </c>
    </row>
    <row r="132" spans="1:11" hidden="1" x14ac:dyDescent="0.3">
      <c r="A132" s="16">
        <v>46084</v>
      </c>
      <c r="C132" s="18" t="s">
        <v>705</v>
      </c>
      <c r="D132" s="18" t="s">
        <v>706</v>
      </c>
      <c r="E132" s="18" t="s">
        <v>480</v>
      </c>
      <c r="F132" s="18">
        <v>14294</v>
      </c>
      <c r="G132" s="18" t="s">
        <v>834</v>
      </c>
      <c r="H132" s="18">
        <v>930</v>
      </c>
      <c r="I132" s="18">
        <v>830.36</v>
      </c>
      <c r="J132" s="18">
        <v>99.64</v>
      </c>
      <c r="K132" s="7" t="s">
        <v>619</v>
      </c>
    </row>
    <row r="133" spans="1:11" hidden="1" x14ac:dyDescent="0.3">
      <c r="A133" s="16">
        <v>46085</v>
      </c>
      <c r="C133" s="10"/>
      <c r="D133" s="18" t="s">
        <v>707</v>
      </c>
      <c r="E133" s="18" t="s">
        <v>480</v>
      </c>
      <c r="F133" s="18">
        <v>263</v>
      </c>
      <c r="G133" s="18" t="s">
        <v>830</v>
      </c>
      <c r="H133" s="20">
        <v>19800</v>
      </c>
      <c r="I133" s="10"/>
      <c r="J133" s="10"/>
      <c r="K133" s="7" t="s">
        <v>618</v>
      </c>
    </row>
    <row r="134" spans="1:11" hidden="1" x14ac:dyDescent="0.3">
      <c r="A134" s="16">
        <v>46086</v>
      </c>
      <c r="C134" s="10"/>
      <c r="D134" s="18" t="s">
        <v>708</v>
      </c>
      <c r="E134" s="18" t="s">
        <v>480</v>
      </c>
      <c r="F134" s="10"/>
      <c r="G134" s="18" t="s">
        <v>614</v>
      </c>
      <c r="H134" s="18">
        <v>150</v>
      </c>
      <c r="I134" s="10"/>
      <c r="J134" s="10"/>
      <c r="K134" s="7" t="s">
        <v>618</v>
      </c>
    </row>
    <row r="135" spans="1:11" hidden="1" x14ac:dyDescent="0.3">
      <c r="A135" s="16">
        <v>46086</v>
      </c>
      <c r="C135" s="10"/>
      <c r="D135" s="18" t="s">
        <v>709</v>
      </c>
      <c r="E135" s="18" t="s">
        <v>482</v>
      </c>
      <c r="F135" s="18">
        <v>5323</v>
      </c>
      <c r="G135" s="18" t="s">
        <v>12</v>
      </c>
      <c r="H135" s="20">
        <v>1020.62</v>
      </c>
      <c r="I135" s="18">
        <v>911.27</v>
      </c>
      <c r="J135" s="18">
        <v>109.35</v>
      </c>
      <c r="K135" s="7" t="s">
        <v>619</v>
      </c>
    </row>
    <row r="136" spans="1:11" hidden="1" x14ac:dyDescent="0.3">
      <c r="A136" s="16">
        <v>46086</v>
      </c>
      <c r="C136" s="18" t="s">
        <v>471</v>
      </c>
      <c r="D136" s="18" t="s">
        <v>437</v>
      </c>
      <c r="E136" s="18" t="s">
        <v>482</v>
      </c>
      <c r="F136" s="18" t="s">
        <v>710</v>
      </c>
      <c r="G136" s="18" t="s">
        <v>612</v>
      </c>
      <c r="H136" s="18">
        <v>135</v>
      </c>
      <c r="I136" s="18">
        <v>120.54</v>
      </c>
      <c r="J136" s="18">
        <v>14.46</v>
      </c>
      <c r="K136" s="7" t="s">
        <v>619</v>
      </c>
    </row>
    <row r="137" spans="1:11" hidden="1" x14ac:dyDescent="0.3">
      <c r="A137" s="16">
        <v>46086</v>
      </c>
      <c r="C137" s="18" t="s">
        <v>466</v>
      </c>
      <c r="D137" s="18" t="s">
        <v>432</v>
      </c>
      <c r="E137" s="18" t="s">
        <v>480</v>
      </c>
      <c r="F137" s="18" t="s">
        <v>711</v>
      </c>
      <c r="G137" s="18" t="s">
        <v>612</v>
      </c>
      <c r="H137" s="18">
        <v>49</v>
      </c>
      <c r="I137" s="18">
        <v>43.75</v>
      </c>
      <c r="J137" s="18">
        <v>5.25</v>
      </c>
      <c r="K137" s="7" t="s">
        <v>619</v>
      </c>
    </row>
    <row r="138" spans="1:11" hidden="1" x14ac:dyDescent="0.3">
      <c r="A138" s="16">
        <v>46086</v>
      </c>
      <c r="C138" s="18" t="s">
        <v>469</v>
      </c>
      <c r="D138" s="18" t="s">
        <v>435</v>
      </c>
      <c r="E138" s="18" t="s">
        <v>482</v>
      </c>
      <c r="F138" s="18" t="s">
        <v>712</v>
      </c>
      <c r="G138" s="18" t="s">
        <v>612</v>
      </c>
      <c r="H138" s="18">
        <v>160</v>
      </c>
      <c r="I138" s="18">
        <v>142.86000000000001</v>
      </c>
      <c r="J138" s="18">
        <v>17.14</v>
      </c>
      <c r="K138" s="7" t="s">
        <v>619</v>
      </c>
    </row>
    <row r="139" spans="1:11" hidden="1" x14ac:dyDescent="0.3">
      <c r="A139" s="16">
        <v>46086</v>
      </c>
      <c r="C139" s="18" t="s">
        <v>470</v>
      </c>
      <c r="D139" s="18" t="s">
        <v>436</v>
      </c>
      <c r="E139" s="18" t="s">
        <v>482</v>
      </c>
      <c r="F139" s="18" t="s">
        <v>713</v>
      </c>
      <c r="G139" s="18" t="s">
        <v>612</v>
      </c>
      <c r="H139" s="18">
        <v>164</v>
      </c>
      <c r="I139" s="18">
        <v>146.43</v>
      </c>
      <c r="J139" s="18">
        <v>17.57</v>
      </c>
      <c r="K139" s="7" t="s">
        <v>619</v>
      </c>
    </row>
    <row r="140" spans="1:11" hidden="1" x14ac:dyDescent="0.3">
      <c r="A140" s="16">
        <v>46086</v>
      </c>
      <c r="C140" s="18" t="s">
        <v>471</v>
      </c>
      <c r="D140" s="18" t="s">
        <v>437</v>
      </c>
      <c r="E140" s="18" t="s">
        <v>482</v>
      </c>
      <c r="F140" s="18" t="s">
        <v>714</v>
      </c>
      <c r="G140" s="18" t="s">
        <v>612</v>
      </c>
      <c r="H140" s="18">
        <v>129</v>
      </c>
      <c r="I140" s="18">
        <v>115.18</v>
      </c>
      <c r="J140" s="18">
        <v>13.82</v>
      </c>
      <c r="K140" s="7" t="s">
        <v>619</v>
      </c>
    </row>
    <row r="141" spans="1:11" hidden="1" x14ac:dyDescent="0.3">
      <c r="A141" s="16">
        <v>46086</v>
      </c>
      <c r="C141" s="18" t="s">
        <v>471</v>
      </c>
      <c r="D141" s="18" t="s">
        <v>437</v>
      </c>
      <c r="E141" s="18" t="s">
        <v>482</v>
      </c>
      <c r="F141" s="18" t="s">
        <v>715</v>
      </c>
      <c r="G141" s="18" t="s">
        <v>612</v>
      </c>
      <c r="H141" s="18">
        <v>264</v>
      </c>
      <c r="I141" s="18">
        <v>235.71</v>
      </c>
      <c r="J141" s="18">
        <v>28.29</v>
      </c>
      <c r="K141" s="7" t="s">
        <v>619</v>
      </c>
    </row>
    <row r="142" spans="1:11" hidden="1" x14ac:dyDescent="0.3">
      <c r="A142" s="16">
        <v>46086</v>
      </c>
      <c r="C142" s="18" t="s">
        <v>466</v>
      </c>
      <c r="D142" s="18" t="s">
        <v>432</v>
      </c>
      <c r="E142" s="18" t="s">
        <v>480</v>
      </c>
      <c r="F142" s="18" t="s">
        <v>716</v>
      </c>
      <c r="G142" s="18" t="s">
        <v>612</v>
      </c>
      <c r="H142" s="18">
        <v>49</v>
      </c>
      <c r="I142" s="18">
        <v>43.75</v>
      </c>
      <c r="J142" s="18">
        <v>5.25</v>
      </c>
      <c r="K142" s="7" t="s">
        <v>619</v>
      </c>
    </row>
    <row r="143" spans="1:11" hidden="1" x14ac:dyDescent="0.3">
      <c r="A143" s="16">
        <v>46086</v>
      </c>
      <c r="C143" s="18" t="s">
        <v>469</v>
      </c>
      <c r="D143" s="18" t="s">
        <v>435</v>
      </c>
      <c r="E143" s="18" t="s">
        <v>482</v>
      </c>
      <c r="F143" s="18" t="s">
        <v>717</v>
      </c>
      <c r="G143" s="18" t="s">
        <v>612</v>
      </c>
      <c r="H143" s="18">
        <v>160</v>
      </c>
      <c r="I143" s="18">
        <v>142.86000000000001</v>
      </c>
      <c r="J143" s="18">
        <v>17.14</v>
      </c>
      <c r="K143" s="7" t="s">
        <v>619</v>
      </c>
    </row>
    <row r="144" spans="1:11" hidden="1" x14ac:dyDescent="0.3">
      <c r="A144" s="16">
        <v>46086</v>
      </c>
      <c r="C144" s="18" t="s">
        <v>470</v>
      </c>
      <c r="D144" s="18" t="s">
        <v>436</v>
      </c>
      <c r="E144" s="18" t="s">
        <v>482</v>
      </c>
      <c r="F144" s="18" t="s">
        <v>718</v>
      </c>
      <c r="G144" s="18" t="s">
        <v>612</v>
      </c>
      <c r="H144" s="18">
        <v>164</v>
      </c>
      <c r="I144" s="18">
        <v>146.43</v>
      </c>
      <c r="J144" s="18">
        <v>17.57</v>
      </c>
      <c r="K144" s="7" t="s">
        <v>619</v>
      </c>
    </row>
    <row r="145" spans="1:11" hidden="1" x14ac:dyDescent="0.3">
      <c r="A145" s="16">
        <v>46087</v>
      </c>
      <c r="C145" s="10"/>
      <c r="D145" s="18" t="s">
        <v>620</v>
      </c>
      <c r="E145" s="10"/>
      <c r="F145" s="10"/>
      <c r="G145" s="10" t="s">
        <v>10</v>
      </c>
      <c r="H145" s="18">
        <v>185</v>
      </c>
      <c r="I145" s="10"/>
      <c r="J145" s="10"/>
      <c r="K145" s="7" t="s">
        <v>618</v>
      </c>
    </row>
    <row r="146" spans="1:11" hidden="1" x14ac:dyDescent="0.3">
      <c r="A146" s="16">
        <v>46087</v>
      </c>
      <c r="C146" s="18" t="s">
        <v>466</v>
      </c>
      <c r="D146" s="18" t="s">
        <v>432</v>
      </c>
      <c r="E146" s="18" t="s">
        <v>480</v>
      </c>
      <c r="F146" s="18" t="s">
        <v>719</v>
      </c>
      <c r="G146" s="18" t="s">
        <v>831</v>
      </c>
      <c r="H146" s="18">
        <v>35</v>
      </c>
      <c r="I146" s="18">
        <v>31.25</v>
      </c>
      <c r="J146" s="18">
        <v>3.75</v>
      </c>
      <c r="K146" s="7" t="s">
        <v>619</v>
      </c>
    </row>
    <row r="147" spans="1:11" hidden="1" x14ac:dyDescent="0.3">
      <c r="A147" s="16">
        <v>46087</v>
      </c>
      <c r="C147" s="18" t="s">
        <v>466</v>
      </c>
      <c r="D147" s="18" t="s">
        <v>432</v>
      </c>
      <c r="E147" s="18" t="s">
        <v>480</v>
      </c>
      <c r="F147" s="18" t="s">
        <v>720</v>
      </c>
      <c r="G147" s="18" t="s">
        <v>831</v>
      </c>
      <c r="H147" s="18">
        <v>35</v>
      </c>
      <c r="I147" s="18">
        <v>31.25</v>
      </c>
      <c r="J147" s="18">
        <v>3.75</v>
      </c>
      <c r="K147" s="7" t="s">
        <v>619</v>
      </c>
    </row>
    <row r="148" spans="1:11" hidden="1" x14ac:dyDescent="0.3">
      <c r="A148" s="16">
        <v>46086</v>
      </c>
      <c r="C148" s="18" t="s">
        <v>721</v>
      </c>
      <c r="D148" s="18" t="s">
        <v>722</v>
      </c>
      <c r="E148" s="18" t="s">
        <v>480</v>
      </c>
      <c r="F148" s="11">
        <v>1805</v>
      </c>
      <c r="G148" s="18" t="s">
        <v>829</v>
      </c>
      <c r="H148" s="20">
        <v>4000</v>
      </c>
      <c r="I148" s="20">
        <v>3571.43</v>
      </c>
      <c r="J148" s="18">
        <v>428.57</v>
      </c>
      <c r="K148" s="7" t="s">
        <v>619</v>
      </c>
    </row>
    <row r="149" spans="1:11" hidden="1" x14ac:dyDescent="0.3">
      <c r="A149" s="16">
        <v>46086</v>
      </c>
      <c r="C149" s="18" t="s">
        <v>721</v>
      </c>
      <c r="D149" s="18" t="s">
        <v>722</v>
      </c>
      <c r="E149" s="18" t="s">
        <v>480</v>
      </c>
      <c r="F149" s="11">
        <v>1804</v>
      </c>
      <c r="G149" s="18" t="s">
        <v>829</v>
      </c>
      <c r="H149" s="20">
        <v>5000</v>
      </c>
      <c r="I149" s="20">
        <v>4464.29</v>
      </c>
      <c r="J149" s="18">
        <v>535.71</v>
      </c>
      <c r="K149" s="7" t="s">
        <v>619</v>
      </c>
    </row>
    <row r="150" spans="1:11" hidden="1" x14ac:dyDescent="0.3">
      <c r="A150" s="16">
        <v>46090</v>
      </c>
      <c r="C150" s="18" t="s">
        <v>465</v>
      </c>
      <c r="D150" s="18" t="s">
        <v>431</v>
      </c>
      <c r="E150" s="18" t="s">
        <v>480</v>
      </c>
      <c r="F150" s="10"/>
      <c r="G150" s="18" t="s">
        <v>6</v>
      </c>
      <c r="H150" s="20">
        <v>1000</v>
      </c>
      <c r="I150" s="18">
        <v>892.86</v>
      </c>
      <c r="J150" s="18">
        <v>107.14</v>
      </c>
      <c r="K150" s="7" t="s">
        <v>619</v>
      </c>
    </row>
    <row r="151" spans="1:11" hidden="1" x14ac:dyDescent="0.3">
      <c r="A151" s="16">
        <v>46092</v>
      </c>
      <c r="C151" s="18" t="s">
        <v>675</v>
      </c>
      <c r="D151" s="18" t="s">
        <v>723</v>
      </c>
      <c r="E151" s="18" t="s">
        <v>482</v>
      </c>
      <c r="F151" s="18" t="s">
        <v>724</v>
      </c>
      <c r="G151" s="18" t="s">
        <v>835</v>
      </c>
      <c r="H151" s="20">
        <v>29822</v>
      </c>
      <c r="I151" s="20">
        <v>26626.79</v>
      </c>
      <c r="J151" s="20">
        <v>3195.21</v>
      </c>
      <c r="K151" s="7" t="s">
        <v>619</v>
      </c>
    </row>
    <row r="152" spans="1:11" hidden="1" x14ac:dyDescent="0.3">
      <c r="A152" s="16">
        <v>46083</v>
      </c>
      <c r="C152" s="18" t="s">
        <v>467</v>
      </c>
      <c r="D152" s="18" t="s">
        <v>433</v>
      </c>
      <c r="E152" s="18" t="s">
        <v>481</v>
      </c>
      <c r="F152" s="18">
        <v>3272297</v>
      </c>
      <c r="G152" s="18" t="s">
        <v>613</v>
      </c>
      <c r="H152" s="18">
        <v>599</v>
      </c>
      <c r="I152" s="18">
        <v>534.82000000000005</v>
      </c>
      <c r="J152" s="18">
        <v>64.180000000000007</v>
      </c>
      <c r="K152" s="7" t="s">
        <v>619</v>
      </c>
    </row>
    <row r="153" spans="1:11" hidden="1" x14ac:dyDescent="0.3">
      <c r="A153" s="16">
        <v>46083</v>
      </c>
      <c r="C153" s="18" t="s">
        <v>467</v>
      </c>
      <c r="D153" s="18" t="s">
        <v>433</v>
      </c>
      <c r="E153" s="18" t="s">
        <v>481</v>
      </c>
      <c r="F153" s="18">
        <v>3237078</v>
      </c>
      <c r="G153" s="18" t="s">
        <v>613</v>
      </c>
      <c r="H153" s="18">
        <v>999</v>
      </c>
      <c r="I153" s="18">
        <v>891.96</v>
      </c>
      <c r="J153" s="18">
        <v>107.04</v>
      </c>
      <c r="K153" s="7" t="s">
        <v>619</v>
      </c>
    </row>
    <row r="154" spans="1:11" hidden="1" x14ac:dyDescent="0.3">
      <c r="A154" s="16">
        <v>46083</v>
      </c>
      <c r="C154" s="18" t="s">
        <v>467</v>
      </c>
      <c r="D154" s="18" t="s">
        <v>433</v>
      </c>
      <c r="E154" s="18" t="s">
        <v>481</v>
      </c>
      <c r="F154" s="18">
        <v>3253704</v>
      </c>
      <c r="G154" s="18" t="s">
        <v>613</v>
      </c>
      <c r="H154" s="18">
        <v>999</v>
      </c>
      <c r="I154" s="18">
        <v>891.96</v>
      </c>
      <c r="J154" s="18">
        <v>107.04</v>
      </c>
      <c r="K154" s="7" t="s">
        <v>619</v>
      </c>
    </row>
    <row r="155" spans="1:11" hidden="1" x14ac:dyDescent="0.3">
      <c r="A155" s="16">
        <v>46083</v>
      </c>
      <c r="C155" s="18" t="s">
        <v>467</v>
      </c>
      <c r="D155" s="18" t="s">
        <v>433</v>
      </c>
      <c r="E155" s="18" t="s">
        <v>481</v>
      </c>
      <c r="F155" s="18">
        <v>3228388</v>
      </c>
      <c r="G155" s="18" t="s">
        <v>613</v>
      </c>
      <c r="H155" s="18">
        <v>999</v>
      </c>
      <c r="I155" s="18">
        <v>891.96</v>
      </c>
      <c r="J155" s="18">
        <v>107.04</v>
      </c>
      <c r="K155" s="7" t="s">
        <v>619</v>
      </c>
    </row>
    <row r="156" spans="1:11" hidden="1" x14ac:dyDescent="0.3">
      <c r="A156" s="16">
        <v>46093</v>
      </c>
      <c r="C156" s="18" t="s">
        <v>479</v>
      </c>
      <c r="D156" s="18" t="s">
        <v>701</v>
      </c>
      <c r="E156" s="18" t="s">
        <v>480</v>
      </c>
      <c r="F156" s="18">
        <v>60308</v>
      </c>
      <c r="G156" s="18" t="s">
        <v>10</v>
      </c>
      <c r="H156" s="20">
        <v>1175.3499999999999</v>
      </c>
      <c r="I156" s="20">
        <v>1049.42</v>
      </c>
      <c r="J156" s="18">
        <v>125.93</v>
      </c>
      <c r="K156" s="7" t="s">
        <v>619</v>
      </c>
    </row>
    <row r="157" spans="1:11" hidden="1" x14ac:dyDescent="0.3">
      <c r="A157" s="16">
        <v>46093</v>
      </c>
      <c r="C157" s="18" t="s">
        <v>479</v>
      </c>
      <c r="D157" s="18" t="s">
        <v>701</v>
      </c>
      <c r="E157" s="18" t="s">
        <v>480</v>
      </c>
      <c r="F157" s="18">
        <v>60309</v>
      </c>
      <c r="G157" s="18" t="s">
        <v>10</v>
      </c>
      <c r="H157" s="20">
        <v>1645.71</v>
      </c>
      <c r="I157" s="20">
        <v>1469.38</v>
      </c>
      <c r="J157" s="18">
        <v>176.33</v>
      </c>
      <c r="K157" s="7" t="s">
        <v>619</v>
      </c>
    </row>
    <row r="158" spans="1:11" hidden="1" x14ac:dyDescent="0.3">
      <c r="A158" s="16">
        <v>46092</v>
      </c>
      <c r="C158" s="10"/>
      <c r="D158" s="18" t="s">
        <v>89</v>
      </c>
      <c r="E158" s="10"/>
      <c r="F158" s="10"/>
      <c r="G158" s="10" t="s">
        <v>10</v>
      </c>
      <c r="H158" s="20">
        <v>24000</v>
      </c>
      <c r="I158" s="10"/>
      <c r="J158" s="10"/>
      <c r="K158" s="7" t="s">
        <v>618</v>
      </c>
    </row>
    <row r="159" spans="1:11" hidden="1" x14ac:dyDescent="0.3">
      <c r="A159" s="16">
        <v>46097</v>
      </c>
      <c r="C159" s="10"/>
      <c r="D159" s="18" t="s">
        <v>725</v>
      </c>
      <c r="E159" s="18" t="s">
        <v>654</v>
      </c>
      <c r="F159" s="18" t="s">
        <v>726</v>
      </c>
      <c r="G159" s="18" t="s">
        <v>10</v>
      </c>
      <c r="H159" s="20">
        <v>2036</v>
      </c>
      <c r="I159" s="20">
        <v>1817.86</v>
      </c>
      <c r="J159" s="18">
        <v>218.14</v>
      </c>
      <c r="K159" s="7" t="s">
        <v>619</v>
      </c>
    </row>
    <row r="160" spans="1:11" hidden="1" x14ac:dyDescent="0.3">
      <c r="A160" s="16">
        <v>46098</v>
      </c>
      <c r="C160" s="18" t="s">
        <v>465</v>
      </c>
      <c r="D160" s="18" t="s">
        <v>431</v>
      </c>
      <c r="E160" s="18" t="s">
        <v>480</v>
      </c>
      <c r="F160" s="10"/>
      <c r="G160" s="18" t="s">
        <v>611</v>
      </c>
      <c r="H160" s="20">
        <v>2874.97</v>
      </c>
      <c r="I160" s="20">
        <v>2566.94</v>
      </c>
      <c r="J160" s="18">
        <v>308.02999999999997</v>
      </c>
      <c r="K160" s="7" t="s">
        <v>619</v>
      </c>
    </row>
    <row r="161" spans="1:11" hidden="1" x14ac:dyDescent="0.3">
      <c r="A161" s="16">
        <v>46098</v>
      </c>
      <c r="C161" s="18" t="s">
        <v>727</v>
      </c>
      <c r="D161" s="18" t="s">
        <v>728</v>
      </c>
      <c r="E161" s="18" t="s">
        <v>729</v>
      </c>
      <c r="F161" s="18">
        <v>3644</v>
      </c>
      <c r="G161" s="18" t="s">
        <v>12</v>
      </c>
      <c r="H161" s="20">
        <v>3760</v>
      </c>
      <c r="I161" s="20">
        <v>3357.14</v>
      </c>
      <c r="J161" s="18">
        <v>402.86</v>
      </c>
      <c r="K161" s="7" t="s">
        <v>619</v>
      </c>
    </row>
    <row r="162" spans="1:11" hidden="1" x14ac:dyDescent="0.3">
      <c r="A162" s="16">
        <v>46102</v>
      </c>
      <c r="C162" s="18" t="s">
        <v>730</v>
      </c>
      <c r="D162" s="18" t="s">
        <v>731</v>
      </c>
      <c r="E162" s="18" t="s">
        <v>480</v>
      </c>
      <c r="F162" s="18">
        <v>12</v>
      </c>
      <c r="G162" s="18" t="s">
        <v>614</v>
      </c>
      <c r="H162" s="20">
        <v>82500</v>
      </c>
      <c r="I162" s="20">
        <v>73660.710000000006</v>
      </c>
      <c r="J162" s="20">
        <v>8839.2900000000009</v>
      </c>
      <c r="K162" s="7" t="s">
        <v>619</v>
      </c>
    </row>
    <row r="163" spans="1:11" hidden="1" x14ac:dyDescent="0.3">
      <c r="A163" s="16">
        <v>46106</v>
      </c>
      <c r="C163" s="18" t="s">
        <v>732</v>
      </c>
      <c r="D163" s="18" t="s">
        <v>733</v>
      </c>
      <c r="E163" s="18" t="s">
        <v>480</v>
      </c>
      <c r="F163" s="18">
        <v>351201</v>
      </c>
      <c r="G163" s="18" t="s">
        <v>6</v>
      </c>
      <c r="H163" s="20">
        <v>4895.92</v>
      </c>
      <c r="I163" s="20">
        <v>4371.3599999999997</v>
      </c>
      <c r="J163" s="18">
        <v>524.55999999999995</v>
      </c>
      <c r="K163" s="7" t="s">
        <v>619</v>
      </c>
    </row>
    <row r="164" spans="1:11" hidden="1" x14ac:dyDescent="0.3">
      <c r="A164" s="16">
        <v>46106</v>
      </c>
      <c r="C164" s="18" t="s">
        <v>734</v>
      </c>
      <c r="D164" s="18" t="s">
        <v>735</v>
      </c>
      <c r="E164" s="18" t="s">
        <v>482</v>
      </c>
      <c r="F164" s="18">
        <v>291</v>
      </c>
      <c r="G164" s="18" t="s">
        <v>14</v>
      </c>
      <c r="H164" s="20">
        <v>1800</v>
      </c>
      <c r="I164" s="20">
        <v>1607.14</v>
      </c>
      <c r="J164" s="18">
        <v>192.86</v>
      </c>
      <c r="K164" s="7" t="s">
        <v>619</v>
      </c>
    </row>
    <row r="165" spans="1:11" hidden="1" x14ac:dyDescent="0.3">
      <c r="A165" s="16">
        <v>46105</v>
      </c>
      <c r="C165" s="18" t="s">
        <v>478</v>
      </c>
      <c r="D165" s="18" t="s">
        <v>455</v>
      </c>
      <c r="E165" s="18" t="s">
        <v>482</v>
      </c>
      <c r="F165" s="18">
        <v>19277</v>
      </c>
      <c r="G165" s="18" t="s">
        <v>830</v>
      </c>
      <c r="H165" s="20">
        <v>39780</v>
      </c>
      <c r="I165" s="20">
        <v>35517.86</v>
      </c>
      <c r="J165" s="20">
        <v>4262.1400000000003</v>
      </c>
      <c r="K165" s="7" t="s">
        <v>619</v>
      </c>
    </row>
    <row r="166" spans="1:11" hidden="1" x14ac:dyDescent="0.3">
      <c r="A166" s="16">
        <v>46107</v>
      </c>
      <c r="C166" s="10"/>
      <c r="D166" s="18" t="s">
        <v>658</v>
      </c>
      <c r="E166" s="18" t="s">
        <v>736</v>
      </c>
      <c r="F166" s="18">
        <v>5564460</v>
      </c>
      <c r="G166" s="18" t="s">
        <v>830</v>
      </c>
      <c r="H166" s="20">
        <v>3000</v>
      </c>
      <c r="I166" s="10"/>
      <c r="J166" s="10"/>
      <c r="K166" s="7" t="s">
        <v>618</v>
      </c>
    </row>
    <row r="167" spans="1:11" hidden="1" x14ac:dyDescent="0.3">
      <c r="A167" s="16">
        <v>46106</v>
      </c>
      <c r="C167" s="18" t="s">
        <v>466</v>
      </c>
      <c r="D167" s="18" t="s">
        <v>432</v>
      </c>
      <c r="E167" s="18" t="s">
        <v>480</v>
      </c>
      <c r="F167" s="18" t="s">
        <v>737</v>
      </c>
      <c r="G167" s="18" t="s">
        <v>831</v>
      </c>
      <c r="H167" s="18">
        <v>35</v>
      </c>
      <c r="I167" s="18">
        <v>31.25</v>
      </c>
      <c r="J167" s="18">
        <v>3.75</v>
      </c>
      <c r="K167" s="7" t="s">
        <v>619</v>
      </c>
    </row>
    <row r="168" spans="1:11" hidden="1" x14ac:dyDescent="0.3">
      <c r="A168" s="16">
        <v>46106</v>
      </c>
      <c r="C168" s="18" t="s">
        <v>466</v>
      </c>
      <c r="D168" s="18" t="s">
        <v>432</v>
      </c>
      <c r="E168" s="18" t="s">
        <v>480</v>
      </c>
      <c r="F168" s="18" t="s">
        <v>738</v>
      </c>
      <c r="G168" s="18" t="s">
        <v>831</v>
      </c>
      <c r="H168" s="18">
        <v>35</v>
      </c>
      <c r="I168" s="18">
        <v>31.25</v>
      </c>
      <c r="J168" s="18">
        <v>3.75</v>
      </c>
      <c r="K168" s="7" t="s">
        <v>619</v>
      </c>
    </row>
    <row r="169" spans="1:11" hidden="1" x14ac:dyDescent="0.3">
      <c r="A169" s="16">
        <v>46107</v>
      </c>
      <c r="C169" s="18" t="s">
        <v>466</v>
      </c>
      <c r="D169" s="18" t="s">
        <v>432</v>
      </c>
      <c r="E169" s="18" t="s">
        <v>480</v>
      </c>
      <c r="F169" s="18" t="s">
        <v>739</v>
      </c>
      <c r="G169" s="18" t="s">
        <v>831</v>
      </c>
      <c r="H169" s="18">
        <v>53</v>
      </c>
      <c r="I169" s="18">
        <v>47.32</v>
      </c>
      <c r="J169" s="18">
        <v>5.68</v>
      </c>
      <c r="K169" s="7" t="s">
        <v>619</v>
      </c>
    </row>
    <row r="170" spans="1:11" hidden="1" x14ac:dyDescent="0.3">
      <c r="A170" s="16">
        <v>46107</v>
      </c>
      <c r="C170" s="18" t="s">
        <v>466</v>
      </c>
      <c r="D170" s="18" t="s">
        <v>432</v>
      </c>
      <c r="E170" s="18" t="s">
        <v>480</v>
      </c>
      <c r="F170" s="18" t="s">
        <v>740</v>
      </c>
      <c r="G170" s="18" t="s">
        <v>831</v>
      </c>
      <c r="H170" s="18">
        <v>35</v>
      </c>
      <c r="I170" s="18">
        <v>31.25</v>
      </c>
      <c r="J170" s="18">
        <v>3.75</v>
      </c>
      <c r="K170" s="7" t="s">
        <v>619</v>
      </c>
    </row>
    <row r="171" spans="1:11" hidden="1" x14ac:dyDescent="0.3">
      <c r="A171" s="16">
        <v>46107</v>
      </c>
      <c r="C171" s="18" t="s">
        <v>466</v>
      </c>
      <c r="D171" s="18" t="s">
        <v>432</v>
      </c>
      <c r="E171" s="18" t="s">
        <v>480</v>
      </c>
      <c r="F171" s="18" t="s">
        <v>741</v>
      </c>
      <c r="G171" s="18" t="s">
        <v>831</v>
      </c>
      <c r="H171" s="18">
        <v>35</v>
      </c>
      <c r="I171" s="18">
        <v>31.25</v>
      </c>
      <c r="J171" s="18">
        <v>3.75</v>
      </c>
      <c r="K171" s="7" t="s">
        <v>619</v>
      </c>
    </row>
    <row r="172" spans="1:11" hidden="1" x14ac:dyDescent="0.3">
      <c r="A172" s="16">
        <v>46108</v>
      </c>
      <c r="C172" s="10"/>
      <c r="D172" s="18" t="s">
        <v>836</v>
      </c>
      <c r="E172" s="10"/>
      <c r="F172" s="10"/>
      <c r="G172" s="10" t="s">
        <v>614</v>
      </c>
      <c r="H172" s="18">
        <v>453</v>
      </c>
      <c r="I172" s="10"/>
      <c r="J172" s="10"/>
      <c r="K172" s="7" t="s">
        <v>618</v>
      </c>
    </row>
    <row r="173" spans="1:11" hidden="1" x14ac:dyDescent="0.3">
      <c r="A173" s="16">
        <v>46109</v>
      </c>
      <c r="C173" s="18" t="s">
        <v>464</v>
      </c>
      <c r="D173" s="18" t="s">
        <v>725</v>
      </c>
      <c r="E173" s="18" t="s">
        <v>480</v>
      </c>
      <c r="F173" s="18" t="s">
        <v>742</v>
      </c>
      <c r="G173" s="18" t="s">
        <v>10</v>
      </c>
      <c r="H173" s="20">
        <v>2246</v>
      </c>
      <c r="I173" s="20">
        <v>2005.36</v>
      </c>
      <c r="J173" s="18">
        <v>240.64</v>
      </c>
      <c r="K173" s="7" t="s">
        <v>619</v>
      </c>
    </row>
    <row r="174" spans="1:11" hidden="1" x14ac:dyDescent="0.3">
      <c r="A174" s="16">
        <v>46085</v>
      </c>
      <c r="C174" s="10"/>
      <c r="D174" s="18" t="s">
        <v>438</v>
      </c>
      <c r="E174" s="10"/>
      <c r="F174" s="10"/>
      <c r="G174" s="10" t="s">
        <v>15</v>
      </c>
      <c r="H174" s="20">
        <v>6892</v>
      </c>
      <c r="I174" s="18">
        <v>0</v>
      </c>
      <c r="J174" s="18">
        <v>0</v>
      </c>
      <c r="K174" s="7" t="s">
        <v>618</v>
      </c>
    </row>
    <row r="175" spans="1:11" hidden="1" x14ac:dyDescent="0.3">
      <c r="A175" s="16">
        <v>46112</v>
      </c>
      <c r="C175" s="10"/>
      <c r="D175" s="18" t="s">
        <v>459</v>
      </c>
      <c r="E175" s="10"/>
      <c r="F175" s="10"/>
      <c r="G175" s="10" t="s">
        <v>15</v>
      </c>
      <c r="H175" s="20">
        <v>15000</v>
      </c>
      <c r="I175" s="18">
        <v>0</v>
      </c>
      <c r="J175" s="18">
        <v>0</v>
      </c>
      <c r="K175" s="7" t="s">
        <v>618</v>
      </c>
    </row>
    <row r="176" spans="1:11" hidden="1" x14ac:dyDescent="0.3">
      <c r="A176" s="16">
        <v>46112</v>
      </c>
      <c r="C176" s="10"/>
      <c r="D176" s="18" t="s">
        <v>460</v>
      </c>
      <c r="E176" s="10"/>
      <c r="F176" s="10"/>
      <c r="G176" s="10" t="s">
        <v>15</v>
      </c>
      <c r="H176" s="20">
        <v>15000</v>
      </c>
      <c r="I176" s="18">
        <v>0</v>
      </c>
      <c r="J176" s="18">
        <v>0</v>
      </c>
      <c r="K176" s="7" t="s">
        <v>618</v>
      </c>
    </row>
    <row r="177" spans="1:11" hidden="1" x14ac:dyDescent="0.3">
      <c r="A177" s="16">
        <v>46112</v>
      </c>
      <c r="C177" s="10"/>
      <c r="D177" s="18" t="s">
        <v>461</v>
      </c>
      <c r="E177" s="10"/>
      <c r="F177" s="10"/>
      <c r="G177" s="10" t="s">
        <v>15</v>
      </c>
      <c r="H177" s="20">
        <v>2000</v>
      </c>
      <c r="I177" s="18">
        <v>0</v>
      </c>
      <c r="J177" s="18">
        <v>0</v>
      </c>
      <c r="K177" s="7" t="s">
        <v>618</v>
      </c>
    </row>
    <row r="178" spans="1:11" hidden="1" x14ac:dyDescent="0.3">
      <c r="A178" s="16">
        <v>46112</v>
      </c>
      <c r="C178" s="10"/>
      <c r="D178" s="18" t="s">
        <v>462</v>
      </c>
      <c r="E178" s="10"/>
      <c r="F178" s="10"/>
      <c r="G178" s="10" t="s">
        <v>835</v>
      </c>
      <c r="H178" s="20">
        <v>20000</v>
      </c>
      <c r="I178" s="18">
        <v>0</v>
      </c>
      <c r="J178" s="18">
        <v>0</v>
      </c>
      <c r="K178" s="7" t="s">
        <v>618</v>
      </c>
    </row>
    <row r="179" spans="1:11" hidden="1" x14ac:dyDescent="0.3">
      <c r="A179" s="16">
        <v>46112</v>
      </c>
      <c r="C179" s="10"/>
      <c r="D179" s="18" t="s">
        <v>463</v>
      </c>
      <c r="E179" s="10"/>
      <c r="F179" s="10"/>
      <c r="G179" s="10" t="s">
        <v>613</v>
      </c>
      <c r="H179" s="20">
        <v>1260</v>
      </c>
      <c r="I179" s="18">
        <v>0</v>
      </c>
      <c r="J179" s="18">
        <v>0</v>
      </c>
      <c r="K179" s="7" t="s">
        <v>618</v>
      </c>
    </row>
    <row r="180" spans="1:11" hidden="1" x14ac:dyDescent="0.3">
      <c r="A180" s="16">
        <v>46113</v>
      </c>
      <c r="C180" s="18" t="s">
        <v>743</v>
      </c>
      <c r="D180" s="18" t="s">
        <v>744</v>
      </c>
      <c r="E180" s="18" t="s">
        <v>746</v>
      </c>
      <c r="F180" s="18" t="s">
        <v>745</v>
      </c>
      <c r="G180" s="18" t="s">
        <v>12</v>
      </c>
      <c r="H180" s="20">
        <v>3048.57</v>
      </c>
      <c r="I180" s="20">
        <v>2721.94</v>
      </c>
      <c r="J180" s="18">
        <v>326.63</v>
      </c>
      <c r="K180" s="7" t="s">
        <v>619</v>
      </c>
    </row>
    <row r="181" spans="1:11" hidden="1" x14ac:dyDescent="0.3">
      <c r="A181" s="16">
        <v>46117</v>
      </c>
      <c r="C181" s="18" t="s">
        <v>747</v>
      </c>
      <c r="D181" s="18" t="s">
        <v>748</v>
      </c>
      <c r="E181" s="18" t="s">
        <v>695</v>
      </c>
      <c r="F181" s="18" t="s">
        <v>749</v>
      </c>
      <c r="G181" s="18" t="s">
        <v>12</v>
      </c>
      <c r="H181" s="20">
        <v>39911.58</v>
      </c>
      <c r="I181" s="20">
        <v>35635.339999999997</v>
      </c>
      <c r="J181" s="20">
        <v>4276.24</v>
      </c>
      <c r="K181" s="7" t="s">
        <v>619</v>
      </c>
    </row>
    <row r="182" spans="1:11" hidden="1" x14ac:dyDescent="0.3">
      <c r="A182" s="16">
        <v>46118</v>
      </c>
      <c r="C182" s="18" t="s">
        <v>652</v>
      </c>
      <c r="D182" s="18" t="s">
        <v>750</v>
      </c>
      <c r="E182" s="18" t="s">
        <v>695</v>
      </c>
      <c r="F182" s="18">
        <v>1868</v>
      </c>
      <c r="G182" s="18" t="s">
        <v>829</v>
      </c>
      <c r="H182" s="20">
        <v>11100</v>
      </c>
      <c r="I182" s="20">
        <v>9910.7099999999991</v>
      </c>
      <c r="J182" s="20">
        <v>1189.29</v>
      </c>
      <c r="K182" s="7" t="s">
        <v>619</v>
      </c>
    </row>
    <row r="183" spans="1:11" hidden="1" x14ac:dyDescent="0.3">
      <c r="A183" s="16">
        <v>46118</v>
      </c>
      <c r="C183" s="18" t="s">
        <v>652</v>
      </c>
      <c r="D183" s="18" t="s">
        <v>750</v>
      </c>
      <c r="E183" s="10"/>
      <c r="F183" s="18">
        <v>1867</v>
      </c>
      <c r="G183" s="10" t="s">
        <v>829</v>
      </c>
      <c r="H183" s="20">
        <v>9100</v>
      </c>
      <c r="I183" s="20">
        <v>8125</v>
      </c>
      <c r="J183" s="18">
        <v>975</v>
      </c>
      <c r="K183" s="7" t="s">
        <v>619</v>
      </c>
    </row>
    <row r="184" spans="1:11" hidden="1" x14ac:dyDescent="0.3">
      <c r="A184" s="16">
        <v>46118</v>
      </c>
      <c r="C184" s="18" t="s">
        <v>479</v>
      </c>
      <c r="D184" s="18" t="s">
        <v>701</v>
      </c>
      <c r="E184" s="18" t="s">
        <v>480</v>
      </c>
      <c r="F184" s="18">
        <v>60322</v>
      </c>
      <c r="G184" s="18" t="s">
        <v>10</v>
      </c>
      <c r="H184" s="20">
        <v>5715.84</v>
      </c>
      <c r="I184" s="20">
        <v>5103.43</v>
      </c>
      <c r="J184" s="18">
        <v>612.41</v>
      </c>
      <c r="K184" s="7" t="s">
        <v>619</v>
      </c>
    </row>
    <row r="185" spans="1:11" hidden="1" x14ac:dyDescent="0.3">
      <c r="A185" s="16">
        <v>46119</v>
      </c>
      <c r="C185" s="18" t="s">
        <v>466</v>
      </c>
      <c r="D185" s="18" t="s">
        <v>432</v>
      </c>
      <c r="E185" s="18" t="s">
        <v>480</v>
      </c>
      <c r="F185" s="18" t="s">
        <v>751</v>
      </c>
      <c r="G185" s="18" t="s">
        <v>831</v>
      </c>
      <c r="H185" s="18">
        <v>35</v>
      </c>
      <c r="I185" s="18">
        <v>31.25</v>
      </c>
      <c r="J185" s="18">
        <v>3.75</v>
      </c>
      <c r="K185" s="7" t="s">
        <v>619</v>
      </c>
    </row>
    <row r="186" spans="1:11" hidden="1" x14ac:dyDescent="0.3">
      <c r="A186" s="16">
        <v>46119</v>
      </c>
      <c r="C186" s="18" t="s">
        <v>466</v>
      </c>
      <c r="D186" s="18" t="s">
        <v>432</v>
      </c>
      <c r="E186" s="18" t="s">
        <v>480</v>
      </c>
      <c r="F186" s="18" t="s">
        <v>752</v>
      </c>
      <c r="G186" s="18" t="s">
        <v>831</v>
      </c>
      <c r="H186" s="18">
        <v>35</v>
      </c>
      <c r="I186" s="18">
        <v>31.25</v>
      </c>
      <c r="J186" s="18">
        <v>3.75</v>
      </c>
      <c r="K186" s="7" t="s">
        <v>619</v>
      </c>
    </row>
    <row r="187" spans="1:11" hidden="1" x14ac:dyDescent="0.3">
      <c r="A187" s="16">
        <v>46120</v>
      </c>
      <c r="C187" s="18" t="s">
        <v>466</v>
      </c>
      <c r="D187" s="18" t="s">
        <v>432</v>
      </c>
      <c r="E187" s="18" t="s">
        <v>480</v>
      </c>
      <c r="F187" s="18" t="s">
        <v>753</v>
      </c>
      <c r="G187" s="18" t="s">
        <v>831</v>
      </c>
      <c r="H187" s="18">
        <v>35</v>
      </c>
      <c r="I187" s="18">
        <v>31.25</v>
      </c>
      <c r="J187" s="18">
        <v>3.75</v>
      </c>
      <c r="K187" s="7" t="s">
        <v>619</v>
      </c>
    </row>
    <row r="188" spans="1:11" hidden="1" x14ac:dyDescent="0.3">
      <c r="A188" s="16">
        <v>46120</v>
      </c>
      <c r="C188" s="18" t="s">
        <v>466</v>
      </c>
      <c r="D188" s="18" t="s">
        <v>432</v>
      </c>
      <c r="E188" s="18" t="s">
        <v>480</v>
      </c>
      <c r="F188" s="18" t="s">
        <v>754</v>
      </c>
      <c r="G188" s="18" t="s">
        <v>831</v>
      </c>
      <c r="H188" s="18">
        <v>35</v>
      </c>
      <c r="I188" s="18">
        <v>31.25</v>
      </c>
      <c r="J188" s="18">
        <v>3.75</v>
      </c>
      <c r="K188" s="7" t="s">
        <v>619</v>
      </c>
    </row>
    <row r="189" spans="1:11" hidden="1" x14ac:dyDescent="0.3">
      <c r="A189" s="16">
        <v>46120</v>
      </c>
      <c r="C189" s="10"/>
      <c r="D189" s="18" t="s">
        <v>658</v>
      </c>
      <c r="E189" s="18" t="s">
        <v>755</v>
      </c>
      <c r="F189" s="18">
        <v>5564472</v>
      </c>
      <c r="G189" s="18" t="s">
        <v>841</v>
      </c>
      <c r="H189" s="20">
        <v>3750</v>
      </c>
      <c r="I189" s="10"/>
      <c r="J189" s="10"/>
      <c r="K189" s="7" t="s">
        <v>618</v>
      </c>
    </row>
    <row r="190" spans="1:11" hidden="1" x14ac:dyDescent="0.3">
      <c r="A190" s="16">
        <v>46121</v>
      </c>
      <c r="C190" s="18" t="s">
        <v>756</v>
      </c>
      <c r="D190" s="18" t="s">
        <v>757</v>
      </c>
      <c r="E190" s="18" t="s">
        <v>482</v>
      </c>
      <c r="F190" s="18" t="s">
        <v>758</v>
      </c>
      <c r="G190" s="18" t="s">
        <v>12</v>
      </c>
      <c r="H190" s="20">
        <v>4875</v>
      </c>
      <c r="I190" s="20">
        <v>4352.68</v>
      </c>
      <c r="J190" s="18">
        <v>522.32000000000005</v>
      </c>
      <c r="K190" s="7" t="s">
        <v>619</v>
      </c>
    </row>
    <row r="191" spans="1:11" hidden="1" x14ac:dyDescent="0.3">
      <c r="A191" s="16">
        <v>46119</v>
      </c>
      <c r="C191" s="18" t="s">
        <v>691</v>
      </c>
      <c r="D191" s="18" t="s">
        <v>692</v>
      </c>
      <c r="E191" s="18" t="s">
        <v>482</v>
      </c>
      <c r="F191" s="18">
        <v>2350</v>
      </c>
      <c r="G191" s="18" t="s">
        <v>14</v>
      </c>
      <c r="H191" s="20">
        <v>1718</v>
      </c>
      <c r="I191" s="10"/>
      <c r="J191" s="10"/>
      <c r="K191" s="7" t="s">
        <v>618</v>
      </c>
    </row>
    <row r="192" spans="1:11" hidden="1" x14ac:dyDescent="0.3">
      <c r="A192" s="16">
        <v>46122</v>
      </c>
      <c r="C192" s="18" t="s">
        <v>696</v>
      </c>
      <c r="D192" s="18" t="s">
        <v>697</v>
      </c>
      <c r="E192" s="18" t="s">
        <v>695</v>
      </c>
      <c r="F192" s="18">
        <v>22981</v>
      </c>
      <c r="G192" s="18" t="s">
        <v>14</v>
      </c>
      <c r="H192" s="18">
        <v>840</v>
      </c>
      <c r="I192" s="18">
        <v>750</v>
      </c>
      <c r="J192" s="18">
        <v>90</v>
      </c>
      <c r="K192" s="7" t="s">
        <v>619</v>
      </c>
    </row>
    <row r="193" spans="1:11" hidden="1" x14ac:dyDescent="0.3">
      <c r="A193" s="16">
        <v>46122</v>
      </c>
      <c r="C193" s="10"/>
      <c r="D193" s="18" t="s">
        <v>759</v>
      </c>
      <c r="E193" s="18" t="s">
        <v>654</v>
      </c>
      <c r="F193" s="18">
        <v>9235</v>
      </c>
      <c r="G193" s="18" t="s">
        <v>14</v>
      </c>
      <c r="H193" s="20">
        <v>2000</v>
      </c>
      <c r="I193" s="20">
        <v>1785.71</v>
      </c>
      <c r="J193" s="18">
        <v>214.29</v>
      </c>
      <c r="K193" s="7" t="s">
        <v>619</v>
      </c>
    </row>
    <row r="194" spans="1:11" hidden="1" x14ac:dyDescent="0.3">
      <c r="A194" s="16">
        <v>46092</v>
      </c>
      <c r="C194" s="18" t="s">
        <v>760</v>
      </c>
      <c r="D194" s="18" t="s">
        <v>761</v>
      </c>
      <c r="E194" s="18" t="s">
        <v>480</v>
      </c>
      <c r="F194" s="18" t="s">
        <v>762</v>
      </c>
      <c r="G194" s="18" t="s">
        <v>837</v>
      </c>
      <c r="H194" s="20">
        <v>28000</v>
      </c>
      <c r="I194" s="20">
        <v>25000</v>
      </c>
      <c r="J194" s="20">
        <v>3000</v>
      </c>
      <c r="K194" s="7" t="s">
        <v>619</v>
      </c>
    </row>
    <row r="195" spans="1:11" hidden="1" x14ac:dyDescent="0.3">
      <c r="A195" s="16">
        <v>46092</v>
      </c>
      <c r="C195" s="18" t="s">
        <v>760</v>
      </c>
      <c r="D195" s="18" t="s">
        <v>761</v>
      </c>
      <c r="E195" s="18" t="s">
        <v>480</v>
      </c>
      <c r="F195" s="18" t="s">
        <v>762</v>
      </c>
      <c r="G195" s="18" t="s">
        <v>835</v>
      </c>
      <c r="H195" s="20">
        <v>3812.5</v>
      </c>
      <c r="I195" s="10"/>
      <c r="J195" s="10"/>
      <c r="K195" s="7" t="s">
        <v>618</v>
      </c>
    </row>
    <row r="196" spans="1:11" hidden="1" x14ac:dyDescent="0.3">
      <c r="A196" s="16">
        <v>46126</v>
      </c>
      <c r="C196" s="18" t="s">
        <v>763</v>
      </c>
      <c r="D196" s="18" t="s">
        <v>764</v>
      </c>
      <c r="E196" s="18" t="s">
        <v>755</v>
      </c>
      <c r="F196" s="18" t="s">
        <v>765</v>
      </c>
      <c r="G196" s="18" t="s">
        <v>829</v>
      </c>
      <c r="H196" s="18">
        <v>200</v>
      </c>
      <c r="I196" s="10"/>
      <c r="J196" s="10"/>
      <c r="K196" s="7" t="s">
        <v>618</v>
      </c>
    </row>
    <row r="197" spans="1:11" hidden="1" x14ac:dyDescent="0.3">
      <c r="A197" s="16">
        <v>46126</v>
      </c>
      <c r="C197" s="18" t="s">
        <v>465</v>
      </c>
      <c r="D197" s="18" t="s">
        <v>431</v>
      </c>
      <c r="E197" s="18" t="s">
        <v>480</v>
      </c>
      <c r="F197" s="10"/>
      <c r="G197" s="18" t="s">
        <v>6</v>
      </c>
      <c r="H197" s="20">
        <v>6851.56</v>
      </c>
      <c r="I197" s="20">
        <v>6117.46</v>
      </c>
      <c r="J197" s="18">
        <v>734.1</v>
      </c>
      <c r="K197" s="7" t="s">
        <v>619</v>
      </c>
    </row>
    <row r="198" spans="1:11" hidden="1" x14ac:dyDescent="0.3">
      <c r="A198" s="16">
        <v>46126</v>
      </c>
      <c r="C198" s="10"/>
      <c r="D198" s="18" t="s">
        <v>658</v>
      </c>
      <c r="E198" s="18" t="s">
        <v>839</v>
      </c>
      <c r="F198" s="18" t="s">
        <v>766</v>
      </c>
      <c r="G198" s="18" t="s">
        <v>830</v>
      </c>
      <c r="H198" s="20">
        <v>3750</v>
      </c>
      <c r="I198" s="10"/>
      <c r="J198" s="10"/>
      <c r="K198" s="7" t="s">
        <v>618</v>
      </c>
    </row>
    <row r="199" spans="1:11" hidden="1" x14ac:dyDescent="0.3">
      <c r="A199" s="16">
        <v>46128</v>
      </c>
      <c r="C199" s="18" t="s">
        <v>767</v>
      </c>
      <c r="D199" s="18" t="s">
        <v>768</v>
      </c>
      <c r="E199" s="18" t="s">
        <v>480</v>
      </c>
      <c r="F199" s="18" t="s">
        <v>769</v>
      </c>
      <c r="G199" s="18" t="s">
        <v>10</v>
      </c>
      <c r="H199" s="18">
        <v>894</v>
      </c>
      <c r="I199" s="18">
        <v>798.21</v>
      </c>
      <c r="J199" s="18">
        <v>95.78</v>
      </c>
      <c r="K199" s="7" t="s">
        <v>619</v>
      </c>
    </row>
    <row r="200" spans="1:11" hidden="1" x14ac:dyDescent="0.3">
      <c r="A200" s="16">
        <v>46129</v>
      </c>
      <c r="C200" s="18" t="s">
        <v>477</v>
      </c>
      <c r="D200" s="18" t="s">
        <v>770</v>
      </c>
      <c r="E200" s="18" t="s">
        <v>840</v>
      </c>
      <c r="F200" s="18" t="s">
        <v>771</v>
      </c>
      <c r="G200" s="18" t="s">
        <v>10</v>
      </c>
      <c r="H200" s="20">
        <v>11150</v>
      </c>
      <c r="I200" s="20">
        <v>9955.36</v>
      </c>
      <c r="J200" s="20">
        <v>1194.6400000000001</v>
      </c>
      <c r="K200" s="7" t="s">
        <v>619</v>
      </c>
    </row>
    <row r="201" spans="1:11" hidden="1" x14ac:dyDescent="0.3">
      <c r="A201" s="16">
        <v>46129</v>
      </c>
      <c r="C201" s="18" t="s">
        <v>772</v>
      </c>
      <c r="D201" s="18" t="s">
        <v>773</v>
      </c>
      <c r="E201" s="18" t="s">
        <v>654</v>
      </c>
      <c r="F201" s="11">
        <v>86717</v>
      </c>
      <c r="G201" s="18" t="s">
        <v>12</v>
      </c>
      <c r="H201" s="20">
        <v>2388</v>
      </c>
      <c r="I201" s="20">
        <v>2132.14</v>
      </c>
      <c r="J201" s="18">
        <v>255.86</v>
      </c>
      <c r="K201" s="7" t="s">
        <v>619</v>
      </c>
    </row>
    <row r="202" spans="1:11" hidden="1" x14ac:dyDescent="0.3">
      <c r="A202" s="16">
        <v>46129</v>
      </c>
      <c r="C202" s="18" t="s">
        <v>774</v>
      </c>
      <c r="D202" s="18" t="s">
        <v>775</v>
      </c>
      <c r="E202" s="18"/>
      <c r="F202" s="11">
        <v>311</v>
      </c>
      <c r="G202" s="18" t="s">
        <v>14</v>
      </c>
      <c r="H202" s="20">
        <v>35000</v>
      </c>
      <c r="I202" s="20">
        <v>31250</v>
      </c>
      <c r="J202" s="20">
        <v>3750</v>
      </c>
      <c r="K202" s="7" t="s">
        <v>619</v>
      </c>
    </row>
    <row r="203" spans="1:11" hidden="1" x14ac:dyDescent="0.3">
      <c r="A203" s="16">
        <v>46130</v>
      </c>
      <c r="C203" s="18" t="s">
        <v>776</v>
      </c>
      <c r="D203" s="18" t="s">
        <v>777</v>
      </c>
      <c r="E203" s="10" t="s">
        <v>654</v>
      </c>
      <c r="F203" s="10" t="s">
        <v>778</v>
      </c>
      <c r="G203" s="18" t="s">
        <v>614</v>
      </c>
      <c r="H203" s="20">
        <v>2820</v>
      </c>
      <c r="I203" s="20">
        <v>2517.86</v>
      </c>
      <c r="J203" s="18">
        <v>302.14</v>
      </c>
      <c r="K203" s="7" t="s">
        <v>619</v>
      </c>
    </row>
    <row r="204" spans="1:11" hidden="1" x14ac:dyDescent="0.3">
      <c r="A204" s="16">
        <v>46130</v>
      </c>
      <c r="C204" s="18" t="s">
        <v>779</v>
      </c>
      <c r="D204" s="18" t="s">
        <v>780</v>
      </c>
      <c r="E204" s="18"/>
      <c r="F204" s="18" t="s">
        <v>781</v>
      </c>
      <c r="G204" s="18" t="s">
        <v>12</v>
      </c>
      <c r="H204" s="18">
        <v>815</v>
      </c>
      <c r="I204" s="18">
        <v>727.68</v>
      </c>
      <c r="J204" s="18">
        <v>87.32</v>
      </c>
      <c r="K204" s="7" t="s">
        <v>619</v>
      </c>
    </row>
    <row r="205" spans="1:11" hidden="1" x14ac:dyDescent="0.3">
      <c r="A205" s="16">
        <v>46130</v>
      </c>
      <c r="C205" s="10"/>
      <c r="D205" s="18" t="s">
        <v>782</v>
      </c>
      <c r="E205" s="18"/>
      <c r="F205" s="10"/>
      <c r="G205" s="10" t="s">
        <v>10</v>
      </c>
      <c r="H205" s="18">
        <v>400</v>
      </c>
      <c r="I205" s="18">
        <v>357.14</v>
      </c>
      <c r="J205" s="10"/>
      <c r="K205" s="7" t="s">
        <v>618</v>
      </c>
    </row>
    <row r="206" spans="1:11" x14ac:dyDescent="0.3">
      <c r="A206" s="16">
        <v>46132</v>
      </c>
      <c r="C206" s="18" t="s">
        <v>783</v>
      </c>
      <c r="D206" s="18" t="s">
        <v>784</v>
      </c>
      <c r="E206" s="18" t="s">
        <v>786</v>
      </c>
      <c r="F206" s="18" t="s">
        <v>785</v>
      </c>
      <c r="G206" s="18" t="s">
        <v>830</v>
      </c>
      <c r="H206" s="20">
        <v>25800</v>
      </c>
      <c r="I206" s="20">
        <v>23035.71</v>
      </c>
      <c r="J206" s="20">
        <v>2764.29</v>
      </c>
      <c r="K206" s="7" t="s">
        <v>619</v>
      </c>
    </row>
    <row r="207" spans="1:11" hidden="1" x14ac:dyDescent="0.3">
      <c r="A207" s="16">
        <v>46132</v>
      </c>
      <c r="C207" s="18" t="s">
        <v>464</v>
      </c>
      <c r="D207" s="18" t="s">
        <v>787</v>
      </c>
      <c r="E207" s="18" t="s">
        <v>480</v>
      </c>
      <c r="F207" s="18" t="s">
        <v>788</v>
      </c>
      <c r="G207" s="18" t="s">
        <v>10</v>
      </c>
      <c r="H207" s="18">
        <v>950</v>
      </c>
      <c r="I207" s="18">
        <v>848.21</v>
      </c>
      <c r="J207" s="18">
        <v>101.79</v>
      </c>
      <c r="K207" s="7" t="s">
        <v>619</v>
      </c>
    </row>
    <row r="208" spans="1:11" hidden="1" x14ac:dyDescent="0.3">
      <c r="A208" s="16">
        <v>46133</v>
      </c>
      <c r="C208" s="10"/>
      <c r="D208" s="18" t="s">
        <v>789</v>
      </c>
      <c r="E208" s="18" t="s">
        <v>755</v>
      </c>
      <c r="F208" s="18" t="s">
        <v>790</v>
      </c>
      <c r="G208" s="18" t="s">
        <v>830</v>
      </c>
      <c r="H208" s="20">
        <v>3750</v>
      </c>
      <c r="I208" s="10"/>
      <c r="J208" s="18">
        <v>0</v>
      </c>
      <c r="K208" s="7" t="s">
        <v>618</v>
      </c>
    </row>
    <row r="209" spans="1:11" hidden="1" x14ac:dyDescent="0.3">
      <c r="A209" s="16">
        <v>46133</v>
      </c>
      <c r="C209" s="18" t="s">
        <v>479</v>
      </c>
      <c r="D209" s="18" t="s">
        <v>456</v>
      </c>
      <c r="E209" s="10"/>
      <c r="F209" s="18" t="s">
        <v>791</v>
      </c>
      <c r="G209" s="10" t="s">
        <v>10</v>
      </c>
      <c r="H209" s="20">
        <v>4506.09</v>
      </c>
      <c r="I209" s="20">
        <v>4023.29</v>
      </c>
      <c r="J209" s="18">
        <v>482.8</v>
      </c>
      <c r="K209" s="7" t="s">
        <v>619</v>
      </c>
    </row>
    <row r="210" spans="1:11" hidden="1" x14ac:dyDescent="0.3">
      <c r="A210" s="16">
        <v>46133</v>
      </c>
      <c r="C210" s="18" t="s">
        <v>792</v>
      </c>
      <c r="D210" s="18" t="s">
        <v>793</v>
      </c>
      <c r="E210" s="18" t="s">
        <v>654</v>
      </c>
      <c r="F210" s="18" t="s">
        <v>794</v>
      </c>
      <c r="G210" s="18" t="s">
        <v>12</v>
      </c>
      <c r="H210" s="18">
        <v>499.4</v>
      </c>
      <c r="I210" s="18">
        <v>445.89</v>
      </c>
      <c r="J210" s="18">
        <v>53.51</v>
      </c>
      <c r="K210" s="7" t="s">
        <v>619</v>
      </c>
    </row>
    <row r="211" spans="1:11" hidden="1" x14ac:dyDescent="0.3">
      <c r="A211" s="16">
        <v>46133</v>
      </c>
      <c r="C211" s="18" t="s">
        <v>732</v>
      </c>
      <c r="D211" s="18" t="s">
        <v>795</v>
      </c>
      <c r="E211" s="18" t="s">
        <v>654</v>
      </c>
      <c r="F211" s="18" t="s">
        <v>796</v>
      </c>
      <c r="G211" s="18" t="s">
        <v>6</v>
      </c>
      <c r="H211" s="20">
        <v>1000</v>
      </c>
      <c r="I211" s="18">
        <v>892.86</v>
      </c>
      <c r="J211" s="18">
        <v>107.14</v>
      </c>
      <c r="K211" s="7" t="s">
        <v>619</v>
      </c>
    </row>
    <row r="212" spans="1:11" hidden="1" x14ac:dyDescent="0.3">
      <c r="A212" s="16">
        <v>46134</v>
      </c>
      <c r="C212" s="18" t="s">
        <v>797</v>
      </c>
      <c r="D212" s="18" t="s">
        <v>798</v>
      </c>
      <c r="E212" s="18" t="s">
        <v>800</v>
      </c>
      <c r="F212" s="18" t="s">
        <v>799</v>
      </c>
      <c r="G212" s="18" t="s">
        <v>12</v>
      </c>
      <c r="H212" s="20">
        <v>1584</v>
      </c>
      <c r="I212" s="20">
        <v>1414.29</v>
      </c>
      <c r="J212" s="18">
        <v>169.71</v>
      </c>
      <c r="K212" s="7" t="s">
        <v>619</v>
      </c>
    </row>
    <row r="213" spans="1:11" hidden="1" x14ac:dyDescent="0.3">
      <c r="A213" s="16">
        <v>46134</v>
      </c>
      <c r="C213" s="10"/>
      <c r="D213" s="18" t="s">
        <v>789</v>
      </c>
      <c r="E213" s="18" t="s">
        <v>755</v>
      </c>
      <c r="F213" s="10" t="s">
        <v>801</v>
      </c>
      <c r="G213" s="18" t="s">
        <v>830</v>
      </c>
      <c r="H213" s="20">
        <v>3750</v>
      </c>
      <c r="I213" s="10"/>
      <c r="J213" s="18">
        <v>0</v>
      </c>
      <c r="K213" s="7" t="s">
        <v>618</v>
      </c>
    </row>
    <row r="214" spans="1:11" hidden="1" x14ac:dyDescent="0.3">
      <c r="A214" s="16">
        <v>46134</v>
      </c>
      <c r="C214" s="18" t="s">
        <v>464</v>
      </c>
      <c r="D214" s="18" t="s">
        <v>725</v>
      </c>
      <c r="E214" s="18" t="s">
        <v>654</v>
      </c>
      <c r="F214" s="18" t="s">
        <v>802</v>
      </c>
      <c r="G214" s="18" t="s">
        <v>10</v>
      </c>
      <c r="H214" s="20">
        <v>1269.6400000000001</v>
      </c>
      <c r="I214" s="20">
        <v>1133.6099999999999</v>
      </c>
      <c r="J214" s="18">
        <v>136.03</v>
      </c>
      <c r="K214" s="7" t="s">
        <v>619</v>
      </c>
    </row>
    <row r="215" spans="1:11" hidden="1" x14ac:dyDescent="0.3">
      <c r="A215" s="16">
        <v>46135</v>
      </c>
      <c r="C215" s="10"/>
      <c r="D215" s="18" t="s">
        <v>789</v>
      </c>
      <c r="E215" s="18" t="s">
        <v>755</v>
      </c>
      <c r="F215" s="18" t="s">
        <v>803</v>
      </c>
      <c r="G215" s="18" t="s">
        <v>830</v>
      </c>
      <c r="H215" s="20">
        <v>3750</v>
      </c>
      <c r="I215" s="20">
        <v>3348.21</v>
      </c>
      <c r="J215" s="18">
        <v>401.79</v>
      </c>
      <c r="K215" s="7" t="s">
        <v>619</v>
      </c>
    </row>
    <row r="216" spans="1:11" hidden="1" x14ac:dyDescent="0.3">
      <c r="A216" s="16">
        <v>46111</v>
      </c>
      <c r="C216" s="18" t="s">
        <v>804</v>
      </c>
      <c r="D216" s="18" t="s">
        <v>805</v>
      </c>
      <c r="E216" s="18" t="s">
        <v>813</v>
      </c>
      <c r="F216" s="18" t="s">
        <v>806</v>
      </c>
      <c r="G216" s="18" t="s">
        <v>613</v>
      </c>
      <c r="H216" s="18">
        <v>999</v>
      </c>
      <c r="I216" s="18">
        <v>891.96</v>
      </c>
      <c r="J216" s="18">
        <v>107.04</v>
      </c>
      <c r="K216" s="7" t="s">
        <v>619</v>
      </c>
    </row>
    <row r="217" spans="1:11" hidden="1" x14ac:dyDescent="0.3">
      <c r="A217" s="16">
        <v>46111</v>
      </c>
      <c r="C217" s="18" t="s">
        <v>804</v>
      </c>
      <c r="D217" s="18" t="s">
        <v>805</v>
      </c>
      <c r="E217" s="18" t="s">
        <v>813</v>
      </c>
      <c r="F217" s="18" t="s">
        <v>807</v>
      </c>
      <c r="G217" s="18" t="s">
        <v>613</v>
      </c>
      <c r="H217" s="18">
        <v>999</v>
      </c>
      <c r="I217" s="18">
        <v>891.96</v>
      </c>
      <c r="J217" s="18">
        <v>107.04</v>
      </c>
      <c r="K217" s="7" t="s">
        <v>619</v>
      </c>
    </row>
    <row r="218" spans="1:11" hidden="1" x14ac:dyDescent="0.3">
      <c r="A218" s="16">
        <v>46111</v>
      </c>
      <c r="C218" s="18" t="s">
        <v>804</v>
      </c>
      <c r="D218" s="18" t="s">
        <v>805</v>
      </c>
      <c r="E218" s="18" t="s">
        <v>813</v>
      </c>
      <c r="F218" s="18" t="s">
        <v>808</v>
      </c>
      <c r="G218" s="18" t="s">
        <v>613</v>
      </c>
      <c r="H218" s="18">
        <v>599</v>
      </c>
      <c r="I218" s="18">
        <v>534.82000000000005</v>
      </c>
      <c r="J218" s="18">
        <v>64.180000000000007</v>
      </c>
      <c r="K218" s="7" t="s">
        <v>619</v>
      </c>
    </row>
    <row r="219" spans="1:11" hidden="1" x14ac:dyDescent="0.3">
      <c r="A219" s="16">
        <v>46111</v>
      </c>
      <c r="C219" s="18" t="s">
        <v>804</v>
      </c>
      <c r="D219" s="18" t="s">
        <v>805</v>
      </c>
      <c r="E219" s="18" t="s">
        <v>813</v>
      </c>
      <c r="F219" s="18" t="s">
        <v>809</v>
      </c>
      <c r="G219" s="18" t="s">
        <v>613</v>
      </c>
      <c r="H219" s="18">
        <v>999</v>
      </c>
      <c r="I219" s="18">
        <v>891.96</v>
      </c>
      <c r="J219" s="18">
        <v>107.04</v>
      </c>
      <c r="K219" s="7" t="s">
        <v>619</v>
      </c>
    </row>
    <row r="220" spans="1:11" hidden="1" x14ac:dyDescent="0.3">
      <c r="A220" s="16">
        <v>46112</v>
      </c>
      <c r="C220" s="18" t="s">
        <v>810</v>
      </c>
      <c r="D220" s="18" t="s">
        <v>811</v>
      </c>
      <c r="E220" s="18" t="s">
        <v>654</v>
      </c>
      <c r="F220" s="18" t="s">
        <v>812</v>
      </c>
      <c r="G220" s="18" t="s">
        <v>838</v>
      </c>
      <c r="H220" s="18">
        <v>370</v>
      </c>
      <c r="I220" s="18">
        <v>330.36</v>
      </c>
      <c r="J220" s="18">
        <v>39.64</v>
      </c>
      <c r="K220" s="7" t="s">
        <v>619</v>
      </c>
    </row>
    <row r="221" spans="1:11" hidden="1" x14ac:dyDescent="0.3">
      <c r="A221" s="16">
        <v>46112</v>
      </c>
      <c r="C221" s="18" t="s">
        <v>675</v>
      </c>
      <c r="D221" s="18" t="s">
        <v>723</v>
      </c>
      <c r="E221" s="18" t="s">
        <v>821</v>
      </c>
      <c r="F221" s="18" t="s">
        <v>814</v>
      </c>
      <c r="G221" s="18" t="s">
        <v>838</v>
      </c>
      <c r="H221" s="20">
        <v>43794</v>
      </c>
      <c r="I221" s="20">
        <v>39101.79</v>
      </c>
      <c r="J221" s="20">
        <v>4692.21</v>
      </c>
      <c r="K221" s="7" t="s">
        <v>619</v>
      </c>
    </row>
    <row r="222" spans="1:11" hidden="1" x14ac:dyDescent="0.3">
      <c r="A222" s="16">
        <v>46136</v>
      </c>
      <c r="C222" s="18" t="s">
        <v>804</v>
      </c>
      <c r="D222" s="18" t="s">
        <v>805</v>
      </c>
      <c r="E222" s="18" t="s">
        <v>813</v>
      </c>
      <c r="F222" s="18" t="s">
        <v>815</v>
      </c>
      <c r="G222" s="18" t="s">
        <v>842</v>
      </c>
      <c r="H222" s="18">
        <v>999</v>
      </c>
      <c r="I222" s="18">
        <v>891.96</v>
      </c>
      <c r="J222" s="18">
        <v>107.04</v>
      </c>
      <c r="K222" s="7" t="s">
        <v>619</v>
      </c>
    </row>
    <row r="223" spans="1:11" hidden="1" x14ac:dyDescent="0.3">
      <c r="A223" s="16">
        <v>46136</v>
      </c>
      <c r="C223" s="18" t="s">
        <v>804</v>
      </c>
      <c r="D223" s="18" t="s">
        <v>805</v>
      </c>
      <c r="E223" s="18" t="s">
        <v>813</v>
      </c>
      <c r="F223" s="18" t="s">
        <v>816</v>
      </c>
      <c r="G223" s="18" t="s">
        <v>842</v>
      </c>
      <c r="H223" s="18">
        <v>999</v>
      </c>
      <c r="I223" s="18">
        <v>891.96</v>
      </c>
      <c r="J223" s="18">
        <v>107.04</v>
      </c>
      <c r="K223" s="7" t="s">
        <v>619</v>
      </c>
    </row>
    <row r="224" spans="1:11" hidden="1" x14ac:dyDescent="0.3">
      <c r="A224" s="16">
        <v>46136</v>
      </c>
      <c r="C224" s="18" t="s">
        <v>804</v>
      </c>
      <c r="D224" s="18" t="s">
        <v>805</v>
      </c>
      <c r="E224" s="18" t="s">
        <v>813</v>
      </c>
      <c r="F224" s="18" t="s">
        <v>817</v>
      </c>
      <c r="G224" s="18" t="s">
        <v>842</v>
      </c>
      <c r="H224" s="18">
        <v>599</v>
      </c>
      <c r="I224" s="18">
        <v>534.82000000000005</v>
      </c>
      <c r="J224" s="18">
        <v>64.180000000000007</v>
      </c>
      <c r="K224" s="7" t="s">
        <v>619</v>
      </c>
    </row>
    <row r="225" spans="1:11" hidden="1" x14ac:dyDescent="0.3">
      <c r="A225" s="16">
        <v>46136</v>
      </c>
      <c r="C225" s="18" t="s">
        <v>804</v>
      </c>
      <c r="D225" s="18" t="s">
        <v>805</v>
      </c>
      <c r="E225" s="18" t="s">
        <v>813</v>
      </c>
      <c r="F225" s="18" t="s">
        <v>818</v>
      </c>
      <c r="G225" s="18" t="s">
        <v>842</v>
      </c>
      <c r="H225" s="18">
        <v>999</v>
      </c>
      <c r="I225" s="18">
        <v>891.96</v>
      </c>
      <c r="J225" s="18">
        <v>107.04</v>
      </c>
      <c r="K225" s="7" t="s">
        <v>619</v>
      </c>
    </row>
    <row r="226" spans="1:11" hidden="1" x14ac:dyDescent="0.3">
      <c r="A226" s="16">
        <v>46136</v>
      </c>
      <c r="C226" s="18" t="s">
        <v>474</v>
      </c>
      <c r="D226" s="18" t="s">
        <v>697</v>
      </c>
      <c r="E226" s="18" t="s">
        <v>654</v>
      </c>
      <c r="F226" s="18" t="s">
        <v>819</v>
      </c>
      <c r="G226" s="18" t="s">
        <v>14</v>
      </c>
      <c r="H226" s="18">
        <v>720</v>
      </c>
      <c r="I226" s="18">
        <v>642.86</v>
      </c>
      <c r="J226" s="18">
        <v>77.14</v>
      </c>
      <c r="K226" s="7" t="s">
        <v>619</v>
      </c>
    </row>
    <row r="227" spans="1:11" hidden="1" x14ac:dyDescent="0.3">
      <c r="A227" s="16">
        <v>46137</v>
      </c>
      <c r="C227" s="18">
        <v>30038905800000</v>
      </c>
      <c r="D227" s="18" t="s">
        <v>820</v>
      </c>
      <c r="E227" s="18" t="s">
        <v>821</v>
      </c>
      <c r="F227" s="18">
        <v>2504</v>
      </c>
      <c r="G227" s="18" t="s">
        <v>12</v>
      </c>
      <c r="H227" s="20">
        <v>2387</v>
      </c>
      <c r="I227" s="18">
        <v>0</v>
      </c>
      <c r="J227" s="18">
        <v>0</v>
      </c>
      <c r="K227" s="7" t="s">
        <v>618</v>
      </c>
    </row>
    <row r="228" spans="1:11" x14ac:dyDescent="0.3">
      <c r="A228" s="16">
        <v>46141</v>
      </c>
      <c r="C228" s="18" t="s">
        <v>476</v>
      </c>
      <c r="D228" s="18" t="s">
        <v>822</v>
      </c>
      <c r="E228" s="18" t="s">
        <v>824</v>
      </c>
      <c r="F228" s="18" t="s">
        <v>823</v>
      </c>
      <c r="G228" s="18" t="s">
        <v>830</v>
      </c>
      <c r="H228" s="20">
        <v>5928</v>
      </c>
      <c r="I228" s="20">
        <v>5292.86</v>
      </c>
      <c r="J228" s="18">
        <v>635.14</v>
      </c>
      <c r="K228" s="7" t="s">
        <v>619</v>
      </c>
    </row>
    <row r="229" spans="1:11" hidden="1" x14ac:dyDescent="0.3">
      <c r="A229" s="16">
        <v>46142</v>
      </c>
      <c r="C229" s="10"/>
      <c r="D229" s="18" t="s">
        <v>825</v>
      </c>
      <c r="E229" s="18" t="s">
        <v>654</v>
      </c>
      <c r="F229" s="18" t="s">
        <v>826</v>
      </c>
      <c r="G229" s="18" t="s">
        <v>10</v>
      </c>
      <c r="H229" s="18">
        <v>156.19999999999999</v>
      </c>
      <c r="I229" s="18">
        <v>139.46</v>
      </c>
      <c r="J229" s="18">
        <v>16.739999999999998</v>
      </c>
      <c r="K229" s="7" t="s">
        <v>619</v>
      </c>
    </row>
    <row r="230" spans="1:11" x14ac:dyDescent="0.3">
      <c r="A230" s="10"/>
      <c r="B230" s="10"/>
      <c r="C230" s="10"/>
      <c r="D230" s="10"/>
      <c r="E230" s="10"/>
      <c r="F230" s="18"/>
      <c r="G230" s="18"/>
      <c r="H230" s="18"/>
    </row>
    <row r="231" spans="1:11" x14ac:dyDescent="0.3">
      <c r="A231" s="10"/>
      <c r="B231" s="10"/>
      <c r="C231" s="10"/>
      <c r="D231" s="10"/>
      <c r="E231" s="10"/>
      <c r="F231" s="18"/>
      <c r="G231" s="18"/>
      <c r="H231" s="18"/>
    </row>
    <row r="232" spans="1:11" x14ac:dyDescent="0.3">
      <c r="A232" s="10"/>
      <c r="B232" s="10"/>
      <c r="C232" s="10"/>
      <c r="D232" s="10"/>
      <c r="E232" s="10"/>
      <c r="F232" s="18"/>
      <c r="G232" s="18"/>
      <c r="H232" s="18"/>
    </row>
    <row r="233" spans="1:11" x14ac:dyDescent="0.3">
      <c r="A233" s="10"/>
      <c r="B233" s="10"/>
      <c r="C233" s="10"/>
      <c r="D233" s="10"/>
      <c r="E233" s="10"/>
      <c r="F233" s="18"/>
      <c r="G233" s="18"/>
      <c r="H233" s="18"/>
    </row>
    <row r="234" spans="1:11" x14ac:dyDescent="0.3">
      <c r="A234" s="10"/>
      <c r="B234" s="10"/>
      <c r="C234" s="10"/>
      <c r="D234" s="10"/>
      <c r="E234" s="10"/>
      <c r="F234" s="18"/>
      <c r="G234" s="18"/>
      <c r="H234" s="18"/>
    </row>
    <row r="235" spans="1:11" x14ac:dyDescent="0.3">
      <c r="A235" s="10"/>
      <c r="B235" s="10"/>
      <c r="C235" s="10"/>
      <c r="D235" s="10"/>
      <c r="E235" s="10"/>
      <c r="F235" s="18"/>
      <c r="G235" s="18"/>
      <c r="H235" s="18"/>
    </row>
    <row r="236" spans="1:11" x14ac:dyDescent="0.3">
      <c r="A236" s="10"/>
      <c r="B236" s="10"/>
      <c r="C236" s="10"/>
      <c r="D236" s="10"/>
      <c r="E236" s="10"/>
      <c r="F236" s="18"/>
      <c r="G236" s="18"/>
      <c r="H236" s="18"/>
    </row>
    <row r="237" spans="1:11" x14ac:dyDescent="0.3">
      <c r="A237" s="10"/>
      <c r="B237" s="10"/>
      <c r="C237" s="10"/>
      <c r="D237" s="10"/>
      <c r="E237" s="10"/>
      <c r="F237" s="18"/>
      <c r="G237" s="18"/>
      <c r="H237" s="18"/>
    </row>
    <row r="238" spans="1:11" x14ac:dyDescent="0.3">
      <c r="A238" s="10"/>
      <c r="B238" s="10"/>
      <c r="C238" s="10"/>
      <c r="D238" s="10"/>
      <c r="E238" s="10"/>
      <c r="F238" s="18"/>
      <c r="G238" s="18"/>
      <c r="H238" s="10"/>
    </row>
    <row r="239" spans="1:11" x14ac:dyDescent="0.3">
      <c r="A239" s="10"/>
      <c r="B239" s="10"/>
      <c r="C239" s="10"/>
      <c r="D239" s="10"/>
      <c r="E239" s="10"/>
      <c r="F239" s="18"/>
      <c r="G239" s="18"/>
      <c r="H239" s="10"/>
    </row>
    <row r="240" spans="1:11" x14ac:dyDescent="0.3">
      <c r="A240" s="10"/>
      <c r="B240" s="10"/>
      <c r="C240" s="10"/>
      <c r="D240" s="10"/>
      <c r="E240" s="10"/>
      <c r="F240" s="18"/>
      <c r="G240" s="10"/>
    </row>
  </sheetData>
  <autoFilter ref="A1:L229" xr:uid="{00000000-0001-0000-0200-000000000000}">
    <filterColumn colId="0">
      <filters>
        <dateGroupItem year="2026" month="4" dateTimeGrouping="month"/>
      </filters>
    </filterColumn>
    <filterColumn colId="3">
      <filters>
        <filter val="VET SPECIALISTS "/>
        <filter val="VETRICH CORP"/>
      </filters>
    </filterColumn>
  </autoFilter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DC704-8B24-3547-8E88-E100F5AD9E42}">
  <sheetPr filterMode="1"/>
  <dimension ref="A1:L44"/>
  <sheetViews>
    <sheetView workbookViewId="0">
      <selection activeCell="H4" sqref="H4:H16"/>
    </sheetView>
  </sheetViews>
  <sheetFormatPr defaultColWidth="11.5546875" defaultRowHeight="14.4" x14ac:dyDescent="0.3"/>
  <sheetData>
    <row r="1" spans="1:12" x14ac:dyDescent="0.3">
      <c r="A1" t="s">
        <v>26</v>
      </c>
      <c r="B1" t="s">
        <v>54</v>
      </c>
      <c r="C1" t="s">
        <v>55</v>
      </c>
      <c r="D1" t="s">
        <v>56</v>
      </c>
      <c r="E1" t="s">
        <v>31</v>
      </c>
      <c r="F1" t="s">
        <v>27</v>
      </c>
      <c r="G1" t="s">
        <v>57</v>
      </c>
      <c r="H1" t="s">
        <v>36</v>
      </c>
      <c r="I1" t="s">
        <v>58</v>
      </c>
      <c r="J1" t="s">
        <v>37</v>
      </c>
      <c r="K1" t="s">
        <v>59</v>
      </c>
      <c r="L1" t="s">
        <v>44</v>
      </c>
    </row>
    <row r="2" spans="1:12" hidden="1" x14ac:dyDescent="0.3">
      <c r="A2" s="16">
        <v>46113</v>
      </c>
      <c r="C2" s="18" t="s">
        <v>743</v>
      </c>
      <c r="D2" s="18" t="s">
        <v>744</v>
      </c>
      <c r="E2" s="18" t="s">
        <v>746</v>
      </c>
      <c r="F2" s="18" t="s">
        <v>745</v>
      </c>
      <c r="G2" s="18" t="s">
        <v>12</v>
      </c>
      <c r="H2" s="20">
        <v>3048.57</v>
      </c>
      <c r="I2" s="20">
        <v>2721.94</v>
      </c>
      <c r="J2" s="18">
        <v>326.63</v>
      </c>
      <c r="K2" s="7" t="s">
        <v>619</v>
      </c>
    </row>
    <row r="3" spans="1:12" hidden="1" x14ac:dyDescent="0.3">
      <c r="A3" s="16">
        <v>46117</v>
      </c>
      <c r="C3" s="18" t="s">
        <v>747</v>
      </c>
      <c r="D3" s="18" t="s">
        <v>748</v>
      </c>
      <c r="E3" s="18" t="s">
        <v>695</v>
      </c>
      <c r="F3" s="18" t="s">
        <v>749</v>
      </c>
      <c r="G3" s="18" t="s">
        <v>12</v>
      </c>
      <c r="H3" s="20">
        <v>39911.58</v>
      </c>
      <c r="I3" s="20">
        <v>35635.339999999997</v>
      </c>
      <c r="J3" s="20">
        <v>4276.24</v>
      </c>
      <c r="K3" s="7" t="s">
        <v>619</v>
      </c>
    </row>
    <row r="4" spans="1:12" x14ac:dyDescent="0.3">
      <c r="A4" s="16">
        <v>46118</v>
      </c>
      <c r="C4" s="18" t="s">
        <v>652</v>
      </c>
      <c r="D4" s="18" t="s">
        <v>750</v>
      </c>
      <c r="E4" s="18" t="s">
        <v>695</v>
      </c>
      <c r="F4" s="18">
        <v>1868</v>
      </c>
      <c r="G4" s="18" t="s">
        <v>829</v>
      </c>
      <c r="H4" s="20">
        <v>11100</v>
      </c>
      <c r="I4" s="20">
        <v>9910.7099999999991</v>
      </c>
      <c r="J4" s="20">
        <v>1189.29</v>
      </c>
      <c r="K4" s="7" t="s">
        <v>619</v>
      </c>
    </row>
    <row r="5" spans="1:12" x14ac:dyDescent="0.3">
      <c r="A5" s="16">
        <v>46118</v>
      </c>
      <c r="C5" s="18" t="s">
        <v>652</v>
      </c>
      <c r="D5" s="18" t="s">
        <v>750</v>
      </c>
      <c r="E5" s="10"/>
      <c r="F5" s="18">
        <v>1867</v>
      </c>
      <c r="G5" s="10" t="s">
        <v>829</v>
      </c>
      <c r="H5" s="20">
        <v>9100</v>
      </c>
      <c r="I5" s="20">
        <v>8125</v>
      </c>
      <c r="J5" s="18">
        <v>975</v>
      </c>
      <c r="K5" s="7" t="s">
        <v>619</v>
      </c>
    </row>
    <row r="6" spans="1:12" hidden="1" x14ac:dyDescent="0.3">
      <c r="A6" s="16">
        <v>46118</v>
      </c>
      <c r="C6" s="18" t="s">
        <v>479</v>
      </c>
      <c r="D6" s="18" t="s">
        <v>701</v>
      </c>
      <c r="E6" s="18" t="s">
        <v>480</v>
      </c>
      <c r="F6" s="18">
        <v>60322</v>
      </c>
      <c r="G6" s="18" t="s">
        <v>10</v>
      </c>
      <c r="H6" s="20">
        <v>5715.84</v>
      </c>
      <c r="I6" s="20">
        <v>5103.43</v>
      </c>
      <c r="J6" s="18">
        <v>612.41</v>
      </c>
      <c r="K6" s="7" t="s">
        <v>619</v>
      </c>
    </row>
    <row r="7" spans="1:12" hidden="1" x14ac:dyDescent="0.3">
      <c r="A7" s="16">
        <v>46119</v>
      </c>
      <c r="C7" s="18" t="s">
        <v>466</v>
      </c>
      <c r="D7" s="18" t="s">
        <v>432</v>
      </c>
      <c r="E7" s="18" t="s">
        <v>480</v>
      </c>
      <c r="F7" s="18" t="s">
        <v>751</v>
      </c>
      <c r="G7" s="18" t="s">
        <v>831</v>
      </c>
      <c r="H7" s="18">
        <v>35</v>
      </c>
      <c r="I7" s="18">
        <v>31.25</v>
      </c>
      <c r="J7" s="18">
        <v>3.75</v>
      </c>
      <c r="K7" s="7" t="s">
        <v>619</v>
      </c>
    </row>
    <row r="8" spans="1:12" hidden="1" x14ac:dyDescent="0.3">
      <c r="A8" s="16">
        <v>46119</v>
      </c>
      <c r="C8" s="18" t="s">
        <v>466</v>
      </c>
      <c r="D8" s="18" t="s">
        <v>432</v>
      </c>
      <c r="E8" s="18" t="s">
        <v>480</v>
      </c>
      <c r="F8" s="18" t="s">
        <v>752</v>
      </c>
      <c r="G8" s="18" t="s">
        <v>831</v>
      </c>
      <c r="H8" s="18">
        <v>35</v>
      </c>
      <c r="I8" s="18">
        <v>31.25</v>
      </c>
      <c r="J8" s="18">
        <v>3.75</v>
      </c>
      <c r="K8" s="7" t="s">
        <v>619</v>
      </c>
    </row>
    <row r="9" spans="1:12" hidden="1" x14ac:dyDescent="0.3">
      <c r="A9" s="16">
        <v>46120</v>
      </c>
      <c r="C9" s="18" t="s">
        <v>466</v>
      </c>
      <c r="D9" s="18" t="s">
        <v>432</v>
      </c>
      <c r="E9" s="18" t="s">
        <v>480</v>
      </c>
      <c r="F9" s="18" t="s">
        <v>753</v>
      </c>
      <c r="G9" s="18" t="s">
        <v>831</v>
      </c>
      <c r="H9" s="18">
        <v>35</v>
      </c>
      <c r="I9" s="18">
        <v>31.25</v>
      </c>
      <c r="J9" s="18">
        <v>3.75</v>
      </c>
      <c r="K9" s="7" t="s">
        <v>619</v>
      </c>
    </row>
    <row r="10" spans="1:12" hidden="1" x14ac:dyDescent="0.3">
      <c r="A10" s="16">
        <v>46120</v>
      </c>
      <c r="C10" s="18" t="s">
        <v>466</v>
      </c>
      <c r="D10" s="18" t="s">
        <v>432</v>
      </c>
      <c r="E10" s="18" t="s">
        <v>480</v>
      </c>
      <c r="F10" s="18" t="s">
        <v>754</v>
      </c>
      <c r="G10" s="18" t="s">
        <v>831</v>
      </c>
      <c r="H10" s="18">
        <v>35</v>
      </c>
      <c r="I10" s="18">
        <v>31.25</v>
      </c>
      <c r="J10" s="18">
        <v>3.75</v>
      </c>
      <c r="K10" s="7" t="s">
        <v>619</v>
      </c>
    </row>
    <row r="11" spans="1:12" hidden="1" x14ac:dyDescent="0.3">
      <c r="A11" s="16">
        <v>46120</v>
      </c>
      <c r="C11" s="10"/>
      <c r="D11" s="18" t="s">
        <v>658</v>
      </c>
      <c r="E11" s="18" t="s">
        <v>755</v>
      </c>
      <c r="F11" s="18">
        <v>5564472</v>
      </c>
      <c r="G11" s="18" t="s">
        <v>841</v>
      </c>
      <c r="H11" s="20">
        <v>3750</v>
      </c>
      <c r="I11" s="10"/>
      <c r="J11" s="10"/>
      <c r="K11" s="7" t="s">
        <v>618</v>
      </c>
    </row>
    <row r="12" spans="1:12" hidden="1" x14ac:dyDescent="0.3">
      <c r="A12" s="16">
        <v>46121</v>
      </c>
      <c r="C12" s="18" t="s">
        <v>756</v>
      </c>
      <c r="D12" s="18" t="s">
        <v>757</v>
      </c>
      <c r="E12" s="18" t="s">
        <v>482</v>
      </c>
      <c r="F12" s="18" t="s">
        <v>758</v>
      </c>
      <c r="G12" s="18" t="s">
        <v>12</v>
      </c>
      <c r="H12" s="20">
        <v>4875</v>
      </c>
      <c r="I12" s="20">
        <v>4352.68</v>
      </c>
      <c r="J12" s="18">
        <v>522.32000000000005</v>
      </c>
      <c r="K12" s="7" t="s">
        <v>619</v>
      </c>
    </row>
    <row r="13" spans="1:12" hidden="1" x14ac:dyDescent="0.3">
      <c r="A13" s="16">
        <v>46119</v>
      </c>
      <c r="C13" s="18" t="s">
        <v>691</v>
      </c>
      <c r="D13" s="18" t="s">
        <v>692</v>
      </c>
      <c r="E13" s="18" t="s">
        <v>482</v>
      </c>
      <c r="F13" s="18">
        <v>2350</v>
      </c>
      <c r="G13" s="18" t="s">
        <v>14</v>
      </c>
      <c r="H13" s="20">
        <v>1718</v>
      </c>
      <c r="I13" s="10"/>
      <c r="J13" s="10"/>
      <c r="K13" s="7" t="s">
        <v>618</v>
      </c>
    </row>
    <row r="14" spans="1:12" hidden="1" x14ac:dyDescent="0.3">
      <c r="A14" s="16">
        <v>46122</v>
      </c>
      <c r="C14" s="18" t="s">
        <v>696</v>
      </c>
      <c r="D14" s="18" t="s">
        <v>697</v>
      </c>
      <c r="E14" s="18" t="s">
        <v>695</v>
      </c>
      <c r="F14" s="18">
        <v>22981</v>
      </c>
      <c r="G14" s="18" t="s">
        <v>14</v>
      </c>
      <c r="H14" s="18">
        <v>840</v>
      </c>
      <c r="I14" s="18">
        <v>750</v>
      </c>
      <c r="J14" s="18">
        <v>90</v>
      </c>
      <c r="K14" s="7" t="s">
        <v>619</v>
      </c>
    </row>
    <row r="15" spans="1:12" hidden="1" x14ac:dyDescent="0.3">
      <c r="A15" s="16">
        <v>46122</v>
      </c>
      <c r="C15" s="10"/>
      <c r="D15" s="18" t="s">
        <v>759</v>
      </c>
      <c r="E15" s="18" t="s">
        <v>654</v>
      </c>
      <c r="F15" s="18">
        <v>9235</v>
      </c>
      <c r="G15" s="18" t="s">
        <v>14</v>
      </c>
      <c r="H15" s="20">
        <v>2000</v>
      </c>
      <c r="I15" s="20">
        <v>1785.71</v>
      </c>
      <c r="J15" s="18">
        <v>214.29</v>
      </c>
      <c r="K15" s="7" t="s">
        <v>619</v>
      </c>
    </row>
    <row r="16" spans="1:12" x14ac:dyDescent="0.3">
      <c r="A16" s="16">
        <v>46126</v>
      </c>
      <c r="C16" s="18" t="s">
        <v>763</v>
      </c>
      <c r="D16" s="18" t="s">
        <v>764</v>
      </c>
      <c r="E16" s="18" t="s">
        <v>755</v>
      </c>
      <c r="F16" s="18" t="s">
        <v>765</v>
      </c>
      <c r="G16" s="18" t="s">
        <v>829</v>
      </c>
      <c r="H16" s="18">
        <v>200</v>
      </c>
      <c r="I16" s="10"/>
      <c r="J16" s="10"/>
      <c r="K16" s="7" t="s">
        <v>618</v>
      </c>
    </row>
    <row r="17" spans="1:11" hidden="1" x14ac:dyDescent="0.3">
      <c r="A17" s="16">
        <v>46126</v>
      </c>
      <c r="C17" s="18" t="s">
        <v>465</v>
      </c>
      <c r="D17" s="18" t="s">
        <v>431</v>
      </c>
      <c r="E17" s="18" t="s">
        <v>480</v>
      </c>
      <c r="F17" s="10"/>
      <c r="G17" s="18" t="s">
        <v>6</v>
      </c>
      <c r="H17" s="20">
        <v>6851.56</v>
      </c>
      <c r="I17" s="20">
        <v>6117.46</v>
      </c>
      <c r="J17" s="18">
        <v>734.1</v>
      </c>
      <c r="K17" s="7" t="s">
        <v>619</v>
      </c>
    </row>
    <row r="18" spans="1:11" hidden="1" x14ac:dyDescent="0.3">
      <c r="A18" s="16">
        <v>46126</v>
      </c>
      <c r="C18" s="10"/>
      <c r="D18" s="18" t="s">
        <v>658</v>
      </c>
      <c r="E18" s="18" t="s">
        <v>839</v>
      </c>
      <c r="F18" s="18" t="s">
        <v>766</v>
      </c>
      <c r="G18" s="18" t="s">
        <v>830</v>
      </c>
      <c r="H18" s="20">
        <v>3750</v>
      </c>
      <c r="I18" s="10"/>
      <c r="J18" s="10"/>
      <c r="K18" s="7" t="s">
        <v>618</v>
      </c>
    </row>
    <row r="19" spans="1:11" hidden="1" x14ac:dyDescent="0.3">
      <c r="A19" s="16">
        <v>46128</v>
      </c>
      <c r="C19" s="18" t="s">
        <v>767</v>
      </c>
      <c r="D19" s="18" t="s">
        <v>768</v>
      </c>
      <c r="E19" s="18" t="s">
        <v>480</v>
      </c>
      <c r="F19" s="18" t="s">
        <v>769</v>
      </c>
      <c r="G19" s="18" t="s">
        <v>10</v>
      </c>
      <c r="H19" s="18">
        <v>894</v>
      </c>
      <c r="I19" s="18">
        <v>798.21</v>
      </c>
      <c r="J19" s="18">
        <v>95.78</v>
      </c>
      <c r="K19" s="7" t="s">
        <v>619</v>
      </c>
    </row>
    <row r="20" spans="1:11" hidden="1" x14ac:dyDescent="0.3">
      <c r="A20" s="16">
        <v>46129</v>
      </c>
      <c r="C20" s="18" t="s">
        <v>477</v>
      </c>
      <c r="D20" s="18" t="s">
        <v>770</v>
      </c>
      <c r="E20" s="18" t="s">
        <v>840</v>
      </c>
      <c r="F20" s="18" t="s">
        <v>771</v>
      </c>
      <c r="G20" s="18" t="s">
        <v>10</v>
      </c>
      <c r="H20" s="20">
        <v>11150</v>
      </c>
      <c r="I20" s="20">
        <v>9955.36</v>
      </c>
      <c r="J20" s="20">
        <v>1194.6400000000001</v>
      </c>
      <c r="K20" s="7" t="s">
        <v>619</v>
      </c>
    </row>
    <row r="21" spans="1:11" hidden="1" x14ac:dyDescent="0.3">
      <c r="A21" s="16">
        <v>46129</v>
      </c>
      <c r="C21" s="18" t="s">
        <v>772</v>
      </c>
      <c r="D21" s="18" t="s">
        <v>773</v>
      </c>
      <c r="E21" s="18" t="s">
        <v>654</v>
      </c>
      <c r="F21" s="11">
        <v>86717</v>
      </c>
      <c r="G21" s="18" t="s">
        <v>12</v>
      </c>
      <c r="H21" s="20">
        <v>2388</v>
      </c>
      <c r="I21" s="20">
        <v>2132.14</v>
      </c>
      <c r="J21" s="18">
        <v>255.86</v>
      </c>
      <c r="K21" s="7" t="s">
        <v>619</v>
      </c>
    </row>
    <row r="22" spans="1:11" hidden="1" x14ac:dyDescent="0.3">
      <c r="A22" s="16">
        <v>46129</v>
      </c>
      <c r="C22" s="18" t="s">
        <v>774</v>
      </c>
      <c r="D22" s="18" t="s">
        <v>775</v>
      </c>
      <c r="E22" s="18"/>
      <c r="F22" s="11">
        <v>311</v>
      </c>
      <c r="G22" s="18" t="s">
        <v>14</v>
      </c>
      <c r="H22" s="20">
        <v>35000</v>
      </c>
      <c r="I22" s="20">
        <v>31250</v>
      </c>
      <c r="J22" s="20">
        <v>3750</v>
      </c>
      <c r="K22" s="7" t="s">
        <v>619</v>
      </c>
    </row>
    <row r="23" spans="1:11" x14ac:dyDescent="0.3">
      <c r="A23" s="16">
        <v>46130</v>
      </c>
      <c r="C23" s="18" t="s">
        <v>776</v>
      </c>
      <c r="D23" s="18" t="s">
        <v>777</v>
      </c>
      <c r="E23" s="10" t="s">
        <v>654</v>
      </c>
      <c r="F23" s="10" t="s">
        <v>778</v>
      </c>
      <c r="G23" s="18" t="s">
        <v>614</v>
      </c>
      <c r="H23" s="20">
        <v>2820</v>
      </c>
      <c r="I23" s="20">
        <v>2517.86</v>
      </c>
      <c r="J23" s="18">
        <v>302.14</v>
      </c>
      <c r="K23" s="7" t="s">
        <v>619</v>
      </c>
    </row>
    <row r="24" spans="1:11" hidden="1" x14ac:dyDescent="0.3">
      <c r="A24" s="16">
        <v>46130</v>
      </c>
      <c r="C24" s="18" t="s">
        <v>779</v>
      </c>
      <c r="D24" s="18" t="s">
        <v>780</v>
      </c>
      <c r="E24" s="18"/>
      <c r="F24" s="18" t="s">
        <v>781</v>
      </c>
      <c r="G24" s="18" t="s">
        <v>12</v>
      </c>
      <c r="H24" s="18">
        <v>815</v>
      </c>
      <c r="I24" s="18">
        <v>727.68</v>
      </c>
      <c r="J24" s="18">
        <v>87.32</v>
      </c>
      <c r="K24" s="7" t="s">
        <v>619</v>
      </c>
    </row>
    <row r="25" spans="1:11" hidden="1" x14ac:dyDescent="0.3">
      <c r="A25" s="16">
        <v>46130</v>
      </c>
      <c r="C25" s="10"/>
      <c r="D25" s="18" t="s">
        <v>782</v>
      </c>
      <c r="E25" s="18"/>
      <c r="F25" s="10"/>
      <c r="G25" s="10" t="s">
        <v>10</v>
      </c>
      <c r="H25" s="18">
        <v>400</v>
      </c>
      <c r="I25" s="18">
        <v>357.14</v>
      </c>
      <c r="J25" s="10"/>
      <c r="K25" s="7" t="s">
        <v>618</v>
      </c>
    </row>
    <row r="26" spans="1:11" hidden="1" x14ac:dyDescent="0.3">
      <c r="A26" s="16">
        <v>46132</v>
      </c>
      <c r="C26" s="18" t="s">
        <v>783</v>
      </c>
      <c r="D26" s="18" t="s">
        <v>784</v>
      </c>
      <c r="E26" s="18" t="s">
        <v>786</v>
      </c>
      <c r="F26" s="18" t="s">
        <v>785</v>
      </c>
      <c r="G26" s="18" t="s">
        <v>830</v>
      </c>
      <c r="H26" s="20">
        <v>25800</v>
      </c>
      <c r="I26" s="20">
        <v>23035.71</v>
      </c>
      <c r="J26" s="20">
        <v>2764.29</v>
      </c>
      <c r="K26" s="7" t="s">
        <v>619</v>
      </c>
    </row>
    <row r="27" spans="1:11" hidden="1" x14ac:dyDescent="0.3">
      <c r="A27" s="16">
        <v>46132</v>
      </c>
      <c r="C27" s="18" t="s">
        <v>464</v>
      </c>
      <c r="D27" s="18" t="s">
        <v>787</v>
      </c>
      <c r="E27" s="18" t="s">
        <v>480</v>
      </c>
      <c r="F27" s="18" t="s">
        <v>788</v>
      </c>
      <c r="G27" s="18" t="s">
        <v>10</v>
      </c>
      <c r="H27" s="18">
        <v>950</v>
      </c>
      <c r="I27" s="18">
        <v>848.21</v>
      </c>
      <c r="J27" s="18">
        <v>101.79</v>
      </c>
      <c r="K27" s="7" t="s">
        <v>619</v>
      </c>
    </row>
    <row r="28" spans="1:11" hidden="1" x14ac:dyDescent="0.3">
      <c r="A28" s="16">
        <v>46133</v>
      </c>
      <c r="C28" s="10"/>
      <c r="D28" s="18" t="s">
        <v>789</v>
      </c>
      <c r="E28" s="18" t="s">
        <v>755</v>
      </c>
      <c r="F28" s="18" t="s">
        <v>790</v>
      </c>
      <c r="G28" s="18" t="s">
        <v>830</v>
      </c>
      <c r="H28" s="20">
        <v>3750</v>
      </c>
      <c r="I28" s="10"/>
      <c r="J28" s="18">
        <v>0</v>
      </c>
      <c r="K28" s="7" t="s">
        <v>618</v>
      </c>
    </row>
    <row r="29" spans="1:11" hidden="1" x14ac:dyDescent="0.3">
      <c r="A29" s="16">
        <v>46133</v>
      </c>
      <c r="C29" s="18" t="s">
        <v>479</v>
      </c>
      <c r="D29" s="18" t="s">
        <v>456</v>
      </c>
      <c r="E29" s="10"/>
      <c r="F29" s="18" t="s">
        <v>791</v>
      </c>
      <c r="G29" s="10" t="s">
        <v>10</v>
      </c>
      <c r="H29" s="20">
        <v>4506.09</v>
      </c>
      <c r="I29" s="20">
        <v>4023.29</v>
      </c>
      <c r="J29" s="18">
        <v>482.8</v>
      </c>
      <c r="K29" s="7" t="s">
        <v>619</v>
      </c>
    </row>
    <row r="30" spans="1:11" hidden="1" x14ac:dyDescent="0.3">
      <c r="A30" s="16">
        <v>46133</v>
      </c>
      <c r="C30" s="18" t="s">
        <v>792</v>
      </c>
      <c r="D30" s="18" t="s">
        <v>793</v>
      </c>
      <c r="E30" s="18" t="s">
        <v>654</v>
      </c>
      <c r="F30" s="18" t="s">
        <v>794</v>
      </c>
      <c r="G30" s="18" t="s">
        <v>12</v>
      </c>
      <c r="H30" s="18">
        <v>499.4</v>
      </c>
      <c r="I30" s="18">
        <v>445.89</v>
      </c>
      <c r="J30" s="18">
        <v>53.51</v>
      </c>
      <c r="K30" s="7" t="s">
        <v>619</v>
      </c>
    </row>
    <row r="31" spans="1:11" hidden="1" x14ac:dyDescent="0.3">
      <c r="A31" s="16">
        <v>46133</v>
      </c>
      <c r="C31" s="18" t="s">
        <v>732</v>
      </c>
      <c r="D31" s="18" t="s">
        <v>795</v>
      </c>
      <c r="E31" s="18" t="s">
        <v>654</v>
      </c>
      <c r="F31" s="18" t="s">
        <v>796</v>
      </c>
      <c r="G31" s="18" t="s">
        <v>6</v>
      </c>
      <c r="H31" s="20">
        <v>1000</v>
      </c>
      <c r="I31" s="18">
        <v>892.86</v>
      </c>
      <c r="J31" s="18">
        <v>107.14</v>
      </c>
      <c r="K31" s="7" t="s">
        <v>619</v>
      </c>
    </row>
    <row r="32" spans="1:11" hidden="1" x14ac:dyDescent="0.3">
      <c r="A32" s="16">
        <v>46134</v>
      </c>
      <c r="C32" s="18" t="s">
        <v>797</v>
      </c>
      <c r="D32" s="18" t="s">
        <v>798</v>
      </c>
      <c r="E32" s="18" t="s">
        <v>800</v>
      </c>
      <c r="F32" s="18" t="s">
        <v>799</v>
      </c>
      <c r="G32" s="18" t="s">
        <v>12</v>
      </c>
      <c r="H32" s="20">
        <v>1584</v>
      </c>
      <c r="I32" s="20">
        <v>1414.29</v>
      </c>
      <c r="J32" s="18">
        <v>169.71</v>
      </c>
      <c r="K32" s="7" t="s">
        <v>619</v>
      </c>
    </row>
    <row r="33" spans="1:11" hidden="1" x14ac:dyDescent="0.3">
      <c r="A33" s="16">
        <v>46134</v>
      </c>
      <c r="C33" s="10"/>
      <c r="D33" s="18" t="s">
        <v>789</v>
      </c>
      <c r="E33" s="18" t="s">
        <v>755</v>
      </c>
      <c r="F33" s="10" t="s">
        <v>801</v>
      </c>
      <c r="G33" s="18" t="s">
        <v>830</v>
      </c>
      <c r="H33" s="20">
        <v>3750</v>
      </c>
      <c r="I33" s="10"/>
      <c r="J33" s="18">
        <v>0</v>
      </c>
      <c r="K33" s="7" t="s">
        <v>618</v>
      </c>
    </row>
    <row r="34" spans="1:11" hidden="1" x14ac:dyDescent="0.3">
      <c r="A34" s="16">
        <v>46134</v>
      </c>
      <c r="C34" s="18" t="s">
        <v>464</v>
      </c>
      <c r="D34" s="18" t="s">
        <v>725</v>
      </c>
      <c r="E34" s="18" t="s">
        <v>654</v>
      </c>
      <c r="F34" s="18" t="s">
        <v>802</v>
      </c>
      <c r="G34" s="18" t="s">
        <v>10</v>
      </c>
      <c r="H34" s="20">
        <v>1269.6400000000001</v>
      </c>
      <c r="I34" s="20">
        <v>1133.6099999999999</v>
      </c>
      <c r="J34" s="18">
        <v>136.03</v>
      </c>
      <c r="K34" s="7" t="s">
        <v>619</v>
      </c>
    </row>
    <row r="35" spans="1:11" hidden="1" x14ac:dyDescent="0.3">
      <c r="A35" s="16">
        <v>46135</v>
      </c>
      <c r="C35" s="10"/>
      <c r="D35" s="18" t="s">
        <v>789</v>
      </c>
      <c r="E35" s="18" t="s">
        <v>755</v>
      </c>
      <c r="F35" s="18" t="s">
        <v>803</v>
      </c>
      <c r="G35" s="18" t="s">
        <v>830</v>
      </c>
      <c r="H35" s="20">
        <v>3750</v>
      </c>
      <c r="I35" s="20">
        <v>3348.21</v>
      </c>
      <c r="J35" s="18">
        <v>401.79</v>
      </c>
      <c r="K35" s="7" t="s">
        <v>619</v>
      </c>
    </row>
    <row r="36" spans="1:11" hidden="1" x14ac:dyDescent="0.3">
      <c r="A36" s="16">
        <v>46136</v>
      </c>
      <c r="C36" s="18" t="s">
        <v>804</v>
      </c>
      <c r="D36" s="18" t="s">
        <v>805</v>
      </c>
      <c r="E36" s="18" t="s">
        <v>813</v>
      </c>
      <c r="F36" s="18" t="s">
        <v>815</v>
      </c>
      <c r="G36" s="18" t="s">
        <v>842</v>
      </c>
      <c r="H36" s="18">
        <v>999</v>
      </c>
      <c r="I36" s="18">
        <v>891.96</v>
      </c>
      <c r="J36" s="18">
        <v>107.04</v>
      </c>
      <c r="K36" s="7" t="s">
        <v>619</v>
      </c>
    </row>
    <row r="37" spans="1:11" hidden="1" x14ac:dyDescent="0.3">
      <c r="A37" s="16">
        <v>46136</v>
      </c>
      <c r="C37" s="18" t="s">
        <v>804</v>
      </c>
      <c r="D37" s="18" t="s">
        <v>805</v>
      </c>
      <c r="E37" s="18" t="s">
        <v>813</v>
      </c>
      <c r="F37" s="18" t="s">
        <v>816</v>
      </c>
      <c r="G37" s="18" t="s">
        <v>842</v>
      </c>
      <c r="H37" s="18">
        <v>999</v>
      </c>
      <c r="I37" s="18">
        <v>891.96</v>
      </c>
      <c r="J37" s="18">
        <v>107.04</v>
      </c>
      <c r="K37" s="7" t="s">
        <v>619</v>
      </c>
    </row>
    <row r="38" spans="1:11" hidden="1" x14ac:dyDescent="0.3">
      <c r="A38" s="16">
        <v>46136</v>
      </c>
      <c r="C38" s="18" t="s">
        <v>804</v>
      </c>
      <c r="D38" s="18" t="s">
        <v>805</v>
      </c>
      <c r="E38" s="18" t="s">
        <v>813</v>
      </c>
      <c r="F38" s="18" t="s">
        <v>817</v>
      </c>
      <c r="G38" s="18" t="s">
        <v>842</v>
      </c>
      <c r="H38" s="18">
        <v>599</v>
      </c>
      <c r="I38" s="18">
        <v>534.82000000000005</v>
      </c>
      <c r="J38" s="18">
        <v>64.180000000000007</v>
      </c>
      <c r="K38" s="7" t="s">
        <v>619</v>
      </c>
    </row>
    <row r="39" spans="1:11" hidden="1" x14ac:dyDescent="0.3">
      <c r="A39" s="16">
        <v>46136</v>
      </c>
      <c r="C39" s="18" t="s">
        <v>804</v>
      </c>
      <c r="D39" s="18" t="s">
        <v>805</v>
      </c>
      <c r="E39" s="18" t="s">
        <v>813</v>
      </c>
      <c r="F39" s="18" t="s">
        <v>818</v>
      </c>
      <c r="G39" s="18" t="s">
        <v>842</v>
      </c>
      <c r="H39" s="18">
        <v>999</v>
      </c>
      <c r="I39" s="18">
        <v>891.96</v>
      </c>
      <c r="J39" s="18">
        <v>107.04</v>
      </c>
      <c r="K39" s="7" t="s">
        <v>619</v>
      </c>
    </row>
    <row r="40" spans="1:11" hidden="1" x14ac:dyDescent="0.3">
      <c r="A40" s="16">
        <v>46136</v>
      </c>
      <c r="C40" s="18" t="s">
        <v>474</v>
      </c>
      <c r="D40" s="18" t="s">
        <v>697</v>
      </c>
      <c r="E40" s="18" t="s">
        <v>654</v>
      </c>
      <c r="F40" s="18" t="s">
        <v>819</v>
      </c>
      <c r="G40" s="18" t="s">
        <v>14</v>
      </c>
      <c r="H40" s="18">
        <v>720</v>
      </c>
      <c r="I40" s="18">
        <v>642.86</v>
      </c>
      <c r="J40" s="18">
        <v>77.14</v>
      </c>
      <c r="K40" s="7" t="s">
        <v>619</v>
      </c>
    </row>
    <row r="41" spans="1:11" hidden="1" x14ac:dyDescent="0.3">
      <c r="A41" s="16">
        <v>46137</v>
      </c>
      <c r="C41" s="18">
        <v>30038905800000</v>
      </c>
      <c r="D41" s="18" t="s">
        <v>820</v>
      </c>
      <c r="E41" s="18" t="s">
        <v>821</v>
      </c>
      <c r="F41" s="18">
        <v>2504</v>
      </c>
      <c r="G41" s="18" t="s">
        <v>12</v>
      </c>
      <c r="H41" s="20">
        <v>2387</v>
      </c>
      <c r="I41" s="18">
        <v>0</v>
      </c>
      <c r="J41" s="18">
        <v>0</v>
      </c>
      <c r="K41" s="7" t="s">
        <v>618</v>
      </c>
    </row>
    <row r="42" spans="1:11" hidden="1" x14ac:dyDescent="0.3">
      <c r="A42" s="16">
        <v>46141</v>
      </c>
      <c r="C42" s="18" t="s">
        <v>476</v>
      </c>
      <c r="D42" s="18" t="s">
        <v>822</v>
      </c>
      <c r="E42" s="18" t="s">
        <v>824</v>
      </c>
      <c r="F42" s="18" t="s">
        <v>823</v>
      </c>
      <c r="G42" s="18" t="s">
        <v>830</v>
      </c>
      <c r="H42" s="20">
        <v>5928</v>
      </c>
      <c r="I42" s="20">
        <v>5292.86</v>
      </c>
      <c r="J42" s="18">
        <v>635.14</v>
      </c>
      <c r="K42" s="7" t="s">
        <v>619</v>
      </c>
    </row>
    <row r="43" spans="1:11" hidden="1" x14ac:dyDescent="0.3">
      <c r="A43" s="16">
        <v>46142</v>
      </c>
      <c r="C43" s="10"/>
      <c r="D43" s="18" t="s">
        <v>825</v>
      </c>
      <c r="E43" s="18" t="s">
        <v>654</v>
      </c>
      <c r="F43" s="18" t="s">
        <v>826</v>
      </c>
      <c r="G43" s="18" t="s">
        <v>10</v>
      </c>
      <c r="H43" s="18">
        <v>156.19999999999999</v>
      </c>
      <c r="I43" s="18">
        <v>139.46</v>
      </c>
      <c r="J43" s="18">
        <v>16.739999999999998</v>
      </c>
      <c r="K43" s="7" t="s">
        <v>619</v>
      </c>
    </row>
    <row r="44" spans="1:11" x14ac:dyDescent="0.3">
      <c r="A44" s="10"/>
      <c r="B44" s="10"/>
      <c r="C44" s="10"/>
      <c r="D44" s="10"/>
      <c r="E44" s="10"/>
      <c r="F44" s="18"/>
      <c r="G44" s="18"/>
      <c r="H44" s="18"/>
    </row>
  </sheetData>
  <autoFilter ref="A1:L43" xr:uid="{E72DC704-8B24-3547-8E88-E100F5AD9E42}">
    <filterColumn colId="6">
      <filters>
        <filter val="PROFESSIONAL FEES"/>
        <filter val="Repairs &amp; Maintenance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18DC-ED48-644B-810F-B730F6B36530}">
  <sheetPr filterMode="1"/>
  <dimension ref="A1:L60"/>
  <sheetViews>
    <sheetView workbookViewId="0">
      <selection activeCell="H1" sqref="H1:H1048576"/>
    </sheetView>
  </sheetViews>
  <sheetFormatPr defaultColWidth="11.5546875" defaultRowHeight="14.4" x14ac:dyDescent="0.3"/>
  <sheetData>
    <row r="1" spans="1:12" x14ac:dyDescent="0.3">
      <c r="A1" t="s">
        <v>26</v>
      </c>
      <c r="B1" t="s">
        <v>54</v>
      </c>
      <c r="C1" t="s">
        <v>55</v>
      </c>
      <c r="D1" t="s">
        <v>56</v>
      </c>
      <c r="E1" t="s">
        <v>31</v>
      </c>
      <c r="F1" t="s">
        <v>27</v>
      </c>
      <c r="G1" t="s">
        <v>57</v>
      </c>
      <c r="H1" t="s">
        <v>36</v>
      </c>
      <c r="I1" t="s">
        <v>58</v>
      </c>
      <c r="J1" t="s">
        <v>37</v>
      </c>
      <c r="K1" t="s">
        <v>59</v>
      </c>
      <c r="L1" t="s">
        <v>44</v>
      </c>
    </row>
    <row r="2" spans="1:12" x14ac:dyDescent="0.3">
      <c r="A2" s="16">
        <v>46083</v>
      </c>
      <c r="C2" s="18" t="s">
        <v>479</v>
      </c>
      <c r="D2" s="18" t="s">
        <v>701</v>
      </c>
      <c r="E2" s="18" t="s">
        <v>480</v>
      </c>
      <c r="F2" s="18">
        <v>60302</v>
      </c>
      <c r="G2" s="18" t="s">
        <v>610</v>
      </c>
      <c r="H2" s="20">
        <v>6413.05</v>
      </c>
      <c r="I2" s="20">
        <v>5725.94</v>
      </c>
      <c r="J2" s="18">
        <v>687.11</v>
      </c>
      <c r="K2" s="7" t="s">
        <v>619</v>
      </c>
    </row>
    <row r="3" spans="1:12" hidden="1" x14ac:dyDescent="0.3">
      <c r="A3" s="16">
        <v>46083</v>
      </c>
      <c r="C3" s="18" t="s">
        <v>702</v>
      </c>
      <c r="D3" s="18" t="s">
        <v>703</v>
      </c>
      <c r="E3" s="18" t="s">
        <v>704</v>
      </c>
      <c r="F3" s="18">
        <v>15928</v>
      </c>
      <c r="G3" s="18" t="s">
        <v>830</v>
      </c>
      <c r="H3" s="20">
        <v>145986.26</v>
      </c>
      <c r="I3" s="20">
        <v>130344.88</v>
      </c>
      <c r="J3" s="20">
        <v>15641.39</v>
      </c>
      <c r="K3" s="7" t="s">
        <v>619</v>
      </c>
    </row>
    <row r="4" spans="1:12" x14ac:dyDescent="0.3">
      <c r="A4" s="16">
        <v>46083</v>
      </c>
      <c r="C4" s="18" t="s">
        <v>465</v>
      </c>
      <c r="D4" s="18" t="s">
        <v>431</v>
      </c>
      <c r="E4" s="18" t="s">
        <v>480</v>
      </c>
      <c r="F4" s="10"/>
      <c r="G4" s="18" t="s">
        <v>6</v>
      </c>
      <c r="H4" s="20">
        <v>3567.43</v>
      </c>
      <c r="I4" s="20">
        <v>3185.21</v>
      </c>
      <c r="J4" s="18">
        <v>382.22</v>
      </c>
      <c r="K4" s="7" t="s">
        <v>619</v>
      </c>
    </row>
    <row r="5" spans="1:12" x14ac:dyDescent="0.3">
      <c r="A5" s="16">
        <v>46084</v>
      </c>
      <c r="C5" s="18" t="s">
        <v>705</v>
      </c>
      <c r="D5" s="18" t="s">
        <v>706</v>
      </c>
      <c r="E5" s="18" t="s">
        <v>480</v>
      </c>
      <c r="F5" s="18">
        <v>14294</v>
      </c>
      <c r="G5" s="18" t="s">
        <v>834</v>
      </c>
      <c r="H5" s="18">
        <v>930</v>
      </c>
      <c r="I5" s="18">
        <v>830.36</v>
      </c>
      <c r="J5" s="18">
        <v>99.64</v>
      </c>
      <c r="K5" s="7" t="s">
        <v>619</v>
      </c>
    </row>
    <row r="6" spans="1:12" hidden="1" x14ac:dyDescent="0.3">
      <c r="A6" s="16">
        <v>46085</v>
      </c>
      <c r="C6" s="10"/>
      <c r="D6" s="18" t="s">
        <v>707</v>
      </c>
      <c r="E6" s="18" t="s">
        <v>480</v>
      </c>
      <c r="F6" s="18">
        <v>263</v>
      </c>
      <c r="G6" s="18" t="s">
        <v>830</v>
      </c>
      <c r="H6" s="20">
        <v>19800</v>
      </c>
      <c r="I6" s="10"/>
      <c r="J6" s="10"/>
      <c r="K6" s="7" t="s">
        <v>618</v>
      </c>
    </row>
    <row r="7" spans="1:12" x14ac:dyDescent="0.3">
      <c r="A7" s="16">
        <v>46086</v>
      </c>
      <c r="C7" s="10"/>
      <c r="D7" s="18" t="s">
        <v>708</v>
      </c>
      <c r="E7" s="18" t="s">
        <v>480</v>
      </c>
      <c r="F7" s="10"/>
      <c r="G7" s="18" t="s">
        <v>614</v>
      </c>
      <c r="H7" s="18">
        <v>150</v>
      </c>
      <c r="I7" s="10"/>
      <c r="J7" s="10"/>
      <c r="K7" s="7" t="s">
        <v>618</v>
      </c>
    </row>
    <row r="8" spans="1:12" x14ac:dyDescent="0.3">
      <c r="A8" s="16">
        <v>46086</v>
      </c>
      <c r="C8" s="10"/>
      <c r="D8" s="18" t="s">
        <v>709</v>
      </c>
      <c r="E8" s="18" t="s">
        <v>482</v>
      </c>
      <c r="F8" s="18">
        <v>5323</v>
      </c>
      <c r="G8" s="18" t="s">
        <v>12</v>
      </c>
      <c r="H8" s="20">
        <v>1020.62</v>
      </c>
      <c r="I8" s="18">
        <v>911.27</v>
      </c>
      <c r="J8" s="18">
        <v>109.35</v>
      </c>
      <c r="K8" s="7" t="s">
        <v>619</v>
      </c>
    </row>
    <row r="9" spans="1:12" x14ac:dyDescent="0.3">
      <c r="A9" s="16">
        <v>46086</v>
      </c>
      <c r="C9" s="18" t="s">
        <v>471</v>
      </c>
      <c r="D9" s="18" t="s">
        <v>437</v>
      </c>
      <c r="E9" s="18" t="s">
        <v>482</v>
      </c>
      <c r="F9" s="18" t="s">
        <v>710</v>
      </c>
      <c r="G9" s="18" t="s">
        <v>612</v>
      </c>
      <c r="H9" s="18">
        <v>135</v>
      </c>
      <c r="I9" s="18">
        <v>120.54</v>
      </c>
      <c r="J9" s="18">
        <v>14.46</v>
      </c>
      <c r="K9" s="7" t="s">
        <v>619</v>
      </c>
    </row>
    <row r="10" spans="1:12" x14ac:dyDescent="0.3">
      <c r="A10" s="16">
        <v>46086</v>
      </c>
      <c r="C10" s="18" t="s">
        <v>466</v>
      </c>
      <c r="D10" s="18" t="s">
        <v>432</v>
      </c>
      <c r="E10" s="18" t="s">
        <v>480</v>
      </c>
      <c r="F10" s="18" t="s">
        <v>711</v>
      </c>
      <c r="G10" s="18" t="s">
        <v>612</v>
      </c>
      <c r="H10" s="18">
        <v>49</v>
      </c>
      <c r="I10" s="18">
        <v>43.75</v>
      </c>
      <c r="J10" s="18">
        <v>5.25</v>
      </c>
      <c r="K10" s="7" t="s">
        <v>619</v>
      </c>
    </row>
    <row r="11" spans="1:12" x14ac:dyDescent="0.3">
      <c r="A11" s="16">
        <v>46086</v>
      </c>
      <c r="C11" s="18" t="s">
        <v>469</v>
      </c>
      <c r="D11" s="18" t="s">
        <v>435</v>
      </c>
      <c r="E11" s="18" t="s">
        <v>482</v>
      </c>
      <c r="F11" s="18" t="s">
        <v>712</v>
      </c>
      <c r="G11" s="18" t="s">
        <v>612</v>
      </c>
      <c r="H11" s="18">
        <v>160</v>
      </c>
      <c r="I11" s="18">
        <v>142.86000000000001</v>
      </c>
      <c r="J11" s="18">
        <v>17.14</v>
      </c>
      <c r="K11" s="7" t="s">
        <v>619</v>
      </c>
    </row>
    <row r="12" spans="1:12" x14ac:dyDescent="0.3">
      <c r="A12" s="16">
        <v>46086</v>
      </c>
      <c r="C12" s="18" t="s">
        <v>470</v>
      </c>
      <c r="D12" s="18" t="s">
        <v>436</v>
      </c>
      <c r="E12" s="18" t="s">
        <v>482</v>
      </c>
      <c r="F12" s="18" t="s">
        <v>713</v>
      </c>
      <c r="G12" s="18" t="s">
        <v>612</v>
      </c>
      <c r="H12" s="18">
        <v>164</v>
      </c>
      <c r="I12" s="18">
        <v>146.43</v>
      </c>
      <c r="J12" s="18">
        <v>17.57</v>
      </c>
      <c r="K12" s="7" t="s">
        <v>619</v>
      </c>
    </row>
    <row r="13" spans="1:12" x14ac:dyDescent="0.3">
      <c r="A13" s="16">
        <v>46086</v>
      </c>
      <c r="C13" s="18" t="s">
        <v>471</v>
      </c>
      <c r="D13" s="18" t="s">
        <v>437</v>
      </c>
      <c r="E13" s="18" t="s">
        <v>482</v>
      </c>
      <c r="F13" s="18" t="s">
        <v>714</v>
      </c>
      <c r="G13" s="18" t="s">
        <v>612</v>
      </c>
      <c r="H13" s="18">
        <v>129</v>
      </c>
      <c r="I13" s="18">
        <v>115.18</v>
      </c>
      <c r="J13" s="18">
        <v>13.82</v>
      </c>
      <c r="K13" s="7" t="s">
        <v>619</v>
      </c>
    </row>
    <row r="14" spans="1:12" x14ac:dyDescent="0.3">
      <c r="A14" s="16">
        <v>46086</v>
      </c>
      <c r="C14" s="18" t="s">
        <v>471</v>
      </c>
      <c r="D14" s="18" t="s">
        <v>437</v>
      </c>
      <c r="E14" s="18" t="s">
        <v>482</v>
      </c>
      <c r="F14" s="18" t="s">
        <v>715</v>
      </c>
      <c r="G14" s="18" t="s">
        <v>612</v>
      </c>
      <c r="H14" s="18">
        <v>264</v>
      </c>
      <c r="I14" s="18">
        <v>235.71</v>
      </c>
      <c r="J14" s="18">
        <v>28.29</v>
      </c>
      <c r="K14" s="7" t="s">
        <v>619</v>
      </c>
    </row>
    <row r="15" spans="1:12" x14ac:dyDescent="0.3">
      <c r="A15" s="16">
        <v>46086</v>
      </c>
      <c r="C15" s="18" t="s">
        <v>466</v>
      </c>
      <c r="D15" s="18" t="s">
        <v>432</v>
      </c>
      <c r="E15" s="18" t="s">
        <v>480</v>
      </c>
      <c r="F15" s="18" t="s">
        <v>716</v>
      </c>
      <c r="G15" s="18" t="s">
        <v>612</v>
      </c>
      <c r="H15" s="18">
        <v>49</v>
      </c>
      <c r="I15" s="18">
        <v>43.75</v>
      </c>
      <c r="J15" s="18">
        <v>5.25</v>
      </c>
      <c r="K15" s="7" t="s">
        <v>619</v>
      </c>
    </row>
    <row r="16" spans="1:12" x14ac:dyDescent="0.3">
      <c r="A16" s="16">
        <v>46086</v>
      </c>
      <c r="C16" s="18" t="s">
        <v>469</v>
      </c>
      <c r="D16" s="18" t="s">
        <v>435</v>
      </c>
      <c r="E16" s="18" t="s">
        <v>482</v>
      </c>
      <c r="F16" s="18" t="s">
        <v>717</v>
      </c>
      <c r="G16" s="18" t="s">
        <v>612</v>
      </c>
      <c r="H16" s="18">
        <v>160</v>
      </c>
      <c r="I16" s="18">
        <v>142.86000000000001</v>
      </c>
      <c r="J16" s="18">
        <v>17.14</v>
      </c>
      <c r="K16" s="7" t="s">
        <v>619</v>
      </c>
    </row>
    <row r="17" spans="1:11" x14ac:dyDescent="0.3">
      <c r="A17" s="16">
        <v>46086</v>
      </c>
      <c r="C17" s="18" t="s">
        <v>470</v>
      </c>
      <c r="D17" s="18" t="s">
        <v>436</v>
      </c>
      <c r="E17" s="18" t="s">
        <v>482</v>
      </c>
      <c r="F17" s="18" t="s">
        <v>718</v>
      </c>
      <c r="G17" s="18" t="s">
        <v>612</v>
      </c>
      <c r="H17" s="18">
        <v>164</v>
      </c>
      <c r="I17" s="18">
        <v>146.43</v>
      </c>
      <c r="J17" s="18">
        <v>17.57</v>
      </c>
      <c r="K17" s="7" t="s">
        <v>619</v>
      </c>
    </row>
    <row r="18" spans="1:11" x14ac:dyDescent="0.3">
      <c r="A18" s="16">
        <v>46087</v>
      </c>
      <c r="C18" s="10"/>
      <c r="D18" s="18" t="s">
        <v>620</v>
      </c>
      <c r="E18" s="10"/>
      <c r="F18" s="10"/>
      <c r="G18" s="10" t="s">
        <v>10</v>
      </c>
      <c r="H18" s="18">
        <v>185</v>
      </c>
      <c r="I18" s="10"/>
      <c r="J18" s="10"/>
      <c r="K18" s="7" t="s">
        <v>618</v>
      </c>
    </row>
    <row r="19" spans="1:11" x14ac:dyDescent="0.3">
      <c r="A19" s="16">
        <v>46087</v>
      </c>
      <c r="C19" s="18" t="s">
        <v>466</v>
      </c>
      <c r="D19" s="18" t="s">
        <v>432</v>
      </c>
      <c r="E19" s="18" t="s">
        <v>480</v>
      </c>
      <c r="F19" s="18" t="s">
        <v>719</v>
      </c>
      <c r="G19" s="18" t="s">
        <v>831</v>
      </c>
      <c r="H19" s="18">
        <v>35</v>
      </c>
      <c r="I19" s="18">
        <v>31.25</v>
      </c>
      <c r="J19" s="18">
        <v>3.75</v>
      </c>
      <c r="K19" s="7" t="s">
        <v>619</v>
      </c>
    </row>
    <row r="20" spans="1:11" x14ac:dyDescent="0.3">
      <c r="A20" s="16">
        <v>46087</v>
      </c>
      <c r="C20" s="18" t="s">
        <v>466</v>
      </c>
      <c r="D20" s="18" t="s">
        <v>432</v>
      </c>
      <c r="E20" s="18" t="s">
        <v>480</v>
      </c>
      <c r="F20" s="18" t="s">
        <v>720</v>
      </c>
      <c r="G20" s="18" t="s">
        <v>831</v>
      </c>
      <c r="H20" s="18">
        <v>35</v>
      </c>
      <c r="I20" s="18">
        <v>31.25</v>
      </c>
      <c r="J20" s="18">
        <v>3.75</v>
      </c>
      <c r="K20" s="7" t="s">
        <v>619</v>
      </c>
    </row>
    <row r="21" spans="1:11" x14ac:dyDescent="0.3">
      <c r="A21" s="16">
        <v>46086</v>
      </c>
      <c r="C21" s="18" t="s">
        <v>721</v>
      </c>
      <c r="D21" s="18" t="s">
        <v>722</v>
      </c>
      <c r="E21" s="18" t="s">
        <v>480</v>
      </c>
      <c r="F21" s="11">
        <v>1805</v>
      </c>
      <c r="G21" s="18" t="s">
        <v>829</v>
      </c>
      <c r="H21" s="20">
        <v>4000</v>
      </c>
      <c r="I21" s="20">
        <v>3571.43</v>
      </c>
      <c r="J21" s="18">
        <v>428.57</v>
      </c>
      <c r="K21" s="7" t="s">
        <v>619</v>
      </c>
    </row>
    <row r="22" spans="1:11" x14ac:dyDescent="0.3">
      <c r="A22" s="16">
        <v>46086</v>
      </c>
      <c r="C22" s="18" t="s">
        <v>721</v>
      </c>
      <c r="D22" s="18" t="s">
        <v>722</v>
      </c>
      <c r="E22" s="18" t="s">
        <v>480</v>
      </c>
      <c r="F22" s="11">
        <v>1804</v>
      </c>
      <c r="G22" s="18" t="s">
        <v>829</v>
      </c>
      <c r="H22" s="20">
        <v>5000</v>
      </c>
      <c r="I22" s="20">
        <v>4464.29</v>
      </c>
      <c r="J22" s="18">
        <v>535.71</v>
      </c>
      <c r="K22" s="7" t="s">
        <v>619</v>
      </c>
    </row>
    <row r="23" spans="1:11" x14ac:dyDescent="0.3">
      <c r="A23" s="16">
        <v>46090</v>
      </c>
      <c r="C23" s="18" t="s">
        <v>465</v>
      </c>
      <c r="D23" s="18" t="s">
        <v>431</v>
      </c>
      <c r="E23" s="18" t="s">
        <v>480</v>
      </c>
      <c r="F23" s="10"/>
      <c r="G23" s="18" t="s">
        <v>6</v>
      </c>
      <c r="H23" s="20">
        <v>1000</v>
      </c>
      <c r="I23" s="18">
        <v>892.86</v>
      </c>
      <c r="J23" s="18">
        <v>107.14</v>
      </c>
      <c r="K23" s="7" t="s">
        <v>619</v>
      </c>
    </row>
    <row r="24" spans="1:11" x14ac:dyDescent="0.3">
      <c r="A24" s="16">
        <v>46092</v>
      </c>
      <c r="C24" s="18" t="s">
        <v>675</v>
      </c>
      <c r="D24" s="18" t="s">
        <v>723</v>
      </c>
      <c r="E24" s="18" t="s">
        <v>482</v>
      </c>
      <c r="F24" s="18" t="s">
        <v>724</v>
      </c>
      <c r="G24" s="18" t="s">
        <v>835</v>
      </c>
      <c r="H24" s="20">
        <v>29822</v>
      </c>
      <c r="I24" s="20">
        <v>26626.79</v>
      </c>
      <c r="J24" s="20">
        <v>3195.21</v>
      </c>
      <c r="K24" s="7" t="s">
        <v>619</v>
      </c>
    </row>
    <row r="25" spans="1:11" x14ac:dyDescent="0.3">
      <c r="A25" s="16">
        <v>46083</v>
      </c>
      <c r="C25" s="18" t="s">
        <v>467</v>
      </c>
      <c r="D25" s="18" t="s">
        <v>433</v>
      </c>
      <c r="E25" s="18" t="s">
        <v>481</v>
      </c>
      <c r="F25" s="18">
        <v>3272297</v>
      </c>
      <c r="G25" s="18" t="s">
        <v>613</v>
      </c>
      <c r="H25" s="18">
        <v>599</v>
      </c>
      <c r="I25" s="18">
        <v>534.82000000000005</v>
      </c>
      <c r="J25" s="18">
        <v>64.180000000000007</v>
      </c>
      <c r="K25" s="7" t="s">
        <v>619</v>
      </c>
    </row>
    <row r="26" spans="1:11" x14ac:dyDescent="0.3">
      <c r="A26" s="16">
        <v>46083</v>
      </c>
      <c r="C26" s="18" t="s">
        <v>467</v>
      </c>
      <c r="D26" s="18" t="s">
        <v>433</v>
      </c>
      <c r="E26" s="18" t="s">
        <v>481</v>
      </c>
      <c r="F26" s="18">
        <v>3237078</v>
      </c>
      <c r="G26" s="18" t="s">
        <v>613</v>
      </c>
      <c r="H26" s="18">
        <v>999</v>
      </c>
      <c r="I26" s="18">
        <v>891.96</v>
      </c>
      <c r="J26" s="18">
        <v>107.04</v>
      </c>
      <c r="K26" s="7" t="s">
        <v>619</v>
      </c>
    </row>
    <row r="27" spans="1:11" x14ac:dyDescent="0.3">
      <c r="A27" s="16">
        <v>46083</v>
      </c>
      <c r="C27" s="18" t="s">
        <v>467</v>
      </c>
      <c r="D27" s="18" t="s">
        <v>433</v>
      </c>
      <c r="E27" s="18" t="s">
        <v>481</v>
      </c>
      <c r="F27" s="18">
        <v>3253704</v>
      </c>
      <c r="G27" s="18" t="s">
        <v>613</v>
      </c>
      <c r="H27" s="18">
        <v>999</v>
      </c>
      <c r="I27" s="18">
        <v>891.96</v>
      </c>
      <c r="J27" s="18">
        <v>107.04</v>
      </c>
      <c r="K27" s="7" t="s">
        <v>619</v>
      </c>
    </row>
    <row r="28" spans="1:11" x14ac:dyDescent="0.3">
      <c r="A28" s="16">
        <v>46083</v>
      </c>
      <c r="C28" s="18" t="s">
        <v>467</v>
      </c>
      <c r="D28" s="18" t="s">
        <v>433</v>
      </c>
      <c r="E28" s="18" t="s">
        <v>481</v>
      </c>
      <c r="F28" s="18">
        <v>3228388</v>
      </c>
      <c r="G28" s="18" t="s">
        <v>613</v>
      </c>
      <c r="H28" s="18">
        <v>999</v>
      </c>
      <c r="I28" s="18">
        <v>891.96</v>
      </c>
      <c r="J28" s="18">
        <v>107.04</v>
      </c>
      <c r="K28" s="7" t="s">
        <v>619</v>
      </c>
    </row>
    <row r="29" spans="1:11" x14ac:dyDescent="0.3">
      <c r="A29" s="16">
        <v>46093</v>
      </c>
      <c r="C29" s="18" t="s">
        <v>479</v>
      </c>
      <c r="D29" s="18" t="s">
        <v>701</v>
      </c>
      <c r="E29" s="18" t="s">
        <v>480</v>
      </c>
      <c r="F29" s="18">
        <v>60308</v>
      </c>
      <c r="G29" s="18" t="s">
        <v>10</v>
      </c>
      <c r="H29" s="20">
        <v>1175.3499999999999</v>
      </c>
      <c r="I29" s="20">
        <v>1049.42</v>
      </c>
      <c r="J29" s="18">
        <v>125.93</v>
      </c>
      <c r="K29" s="7" t="s">
        <v>619</v>
      </c>
    </row>
    <row r="30" spans="1:11" x14ac:dyDescent="0.3">
      <c r="A30" s="16">
        <v>46093</v>
      </c>
      <c r="C30" s="18" t="s">
        <v>479</v>
      </c>
      <c r="D30" s="18" t="s">
        <v>701</v>
      </c>
      <c r="E30" s="18" t="s">
        <v>480</v>
      </c>
      <c r="F30" s="18">
        <v>60309</v>
      </c>
      <c r="G30" s="18" t="s">
        <v>10</v>
      </c>
      <c r="H30" s="20">
        <v>1645.71</v>
      </c>
      <c r="I30" s="20">
        <v>1469.38</v>
      </c>
      <c r="J30" s="18">
        <v>176.33</v>
      </c>
      <c r="K30" s="7" t="s">
        <v>619</v>
      </c>
    </row>
    <row r="31" spans="1:11" x14ac:dyDescent="0.3">
      <c r="A31" s="16">
        <v>46092</v>
      </c>
      <c r="C31" s="10"/>
      <c r="D31" s="18" t="s">
        <v>89</v>
      </c>
      <c r="E31" s="10"/>
      <c r="F31" s="10"/>
      <c r="G31" s="10" t="s">
        <v>10</v>
      </c>
      <c r="H31" s="20">
        <v>24000</v>
      </c>
      <c r="I31" s="10"/>
      <c r="J31" s="10"/>
      <c r="K31" s="7" t="s">
        <v>618</v>
      </c>
    </row>
    <row r="32" spans="1:11" x14ac:dyDescent="0.3">
      <c r="A32" s="16">
        <v>46097</v>
      </c>
      <c r="C32" s="10"/>
      <c r="D32" s="18" t="s">
        <v>725</v>
      </c>
      <c r="E32" s="18" t="s">
        <v>654</v>
      </c>
      <c r="F32" s="18" t="s">
        <v>726</v>
      </c>
      <c r="G32" s="18" t="s">
        <v>10</v>
      </c>
      <c r="H32" s="20">
        <v>2036</v>
      </c>
      <c r="I32" s="20">
        <v>1817.86</v>
      </c>
      <c r="J32" s="18">
        <v>218.14</v>
      </c>
      <c r="K32" s="7" t="s">
        <v>619</v>
      </c>
    </row>
    <row r="33" spans="1:11" x14ac:dyDescent="0.3">
      <c r="A33" s="16">
        <v>46098</v>
      </c>
      <c r="C33" s="18" t="s">
        <v>465</v>
      </c>
      <c r="D33" s="18" t="s">
        <v>431</v>
      </c>
      <c r="E33" s="18" t="s">
        <v>480</v>
      </c>
      <c r="F33" s="10"/>
      <c r="G33" s="18" t="s">
        <v>611</v>
      </c>
      <c r="H33" s="20">
        <v>2874.97</v>
      </c>
      <c r="I33" s="20">
        <v>2566.94</v>
      </c>
      <c r="J33" s="18">
        <v>308.02999999999997</v>
      </c>
      <c r="K33" s="7" t="s">
        <v>619</v>
      </c>
    </row>
    <row r="34" spans="1:11" x14ac:dyDescent="0.3">
      <c r="A34" s="16">
        <v>46098</v>
      </c>
      <c r="C34" s="18" t="s">
        <v>727</v>
      </c>
      <c r="D34" s="18" t="s">
        <v>728</v>
      </c>
      <c r="E34" s="18" t="s">
        <v>729</v>
      </c>
      <c r="F34" s="18">
        <v>3644</v>
      </c>
      <c r="G34" s="18" t="s">
        <v>12</v>
      </c>
      <c r="H34" s="20">
        <v>3760</v>
      </c>
      <c r="I34" s="20">
        <v>3357.14</v>
      </c>
      <c r="J34" s="18">
        <v>402.86</v>
      </c>
      <c r="K34" s="7" t="s">
        <v>619</v>
      </c>
    </row>
    <row r="35" spans="1:11" x14ac:dyDescent="0.3">
      <c r="A35" s="16">
        <v>46102</v>
      </c>
      <c r="C35" s="18" t="s">
        <v>730</v>
      </c>
      <c r="D35" s="18" t="s">
        <v>731</v>
      </c>
      <c r="E35" s="18" t="s">
        <v>480</v>
      </c>
      <c r="F35" s="18">
        <v>12</v>
      </c>
      <c r="G35" s="18" t="s">
        <v>614</v>
      </c>
      <c r="H35" s="20">
        <v>82500</v>
      </c>
      <c r="I35" s="20">
        <v>73660.710000000006</v>
      </c>
      <c r="J35" s="20">
        <v>8839.2900000000009</v>
      </c>
      <c r="K35" s="7" t="s">
        <v>619</v>
      </c>
    </row>
    <row r="36" spans="1:11" x14ac:dyDescent="0.3">
      <c r="A36" s="16">
        <v>46106</v>
      </c>
      <c r="C36" s="18" t="s">
        <v>732</v>
      </c>
      <c r="D36" s="18" t="s">
        <v>733</v>
      </c>
      <c r="E36" s="18" t="s">
        <v>480</v>
      </c>
      <c r="F36" s="18">
        <v>351201</v>
      </c>
      <c r="G36" s="18" t="s">
        <v>6</v>
      </c>
      <c r="H36" s="20">
        <v>4895.92</v>
      </c>
      <c r="I36" s="20">
        <v>4371.3599999999997</v>
      </c>
      <c r="J36" s="18">
        <v>524.55999999999995</v>
      </c>
      <c r="K36" s="7" t="s">
        <v>619</v>
      </c>
    </row>
    <row r="37" spans="1:11" x14ac:dyDescent="0.3">
      <c r="A37" s="16">
        <v>46106</v>
      </c>
      <c r="C37" s="18" t="s">
        <v>734</v>
      </c>
      <c r="D37" s="18" t="s">
        <v>735</v>
      </c>
      <c r="E37" s="18" t="s">
        <v>482</v>
      </c>
      <c r="F37" s="18">
        <v>291</v>
      </c>
      <c r="G37" s="18" t="s">
        <v>14</v>
      </c>
      <c r="H37" s="20">
        <v>1800</v>
      </c>
      <c r="I37" s="20">
        <v>1607.14</v>
      </c>
      <c r="J37" s="18">
        <v>192.86</v>
      </c>
      <c r="K37" s="7" t="s">
        <v>619</v>
      </c>
    </row>
    <row r="38" spans="1:11" hidden="1" x14ac:dyDescent="0.3">
      <c r="A38" s="16">
        <v>46105</v>
      </c>
      <c r="C38" s="18" t="s">
        <v>478</v>
      </c>
      <c r="D38" s="18" t="s">
        <v>455</v>
      </c>
      <c r="E38" s="18" t="s">
        <v>482</v>
      </c>
      <c r="F38" s="18">
        <v>19277</v>
      </c>
      <c r="G38" s="18" t="s">
        <v>830</v>
      </c>
      <c r="H38" s="20">
        <v>39780</v>
      </c>
      <c r="I38" s="20">
        <v>35517.86</v>
      </c>
      <c r="J38" s="20">
        <v>4262.1400000000003</v>
      </c>
      <c r="K38" s="7" t="s">
        <v>619</v>
      </c>
    </row>
    <row r="39" spans="1:11" hidden="1" x14ac:dyDescent="0.3">
      <c r="A39" s="16">
        <v>46107</v>
      </c>
      <c r="C39" s="10"/>
      <c r="D39" s="18" t="s">
        <v>658</v>
      </c>
      <c r="E39" s="18" t="s">
        <v>736</v>
      </c>
      <c r="F39" s="18">
        <v>5564460</v>
      </c>
      <c r="G39" s="18" t="s">
        <v>830</v>
      </c>
      <c r="H39" s="20">
        <v>3000</v>
      </c>
      <c r="I39" s="10"/>
      <c r="J39" s="10"/>
      <c r="K39" s="7" t="s">
        <v>618</v>
      </c>
    </row>
    <row r="40" spans="1:11" x14ac:dyDescent="0.3">
      <c r="A40" s="16">
        <v>46106</v>
      </c>
      <c r="C40" s="18" t="s">
        <v>466</v>
      </c>
      <c r="D40" s="18" t="s">
        <v>432</v>
      </c>
      <c r="E40" s="18" t="s">
        <v>480</v>
      </c>
      <c r="F40" s="18" t="s">
        <v>737</v>
      </c>
      <c r="G40" s="18" t="s">
        <v>831</v>
      </c>
      <c r="H40" s="18">
        <v>35</v>
      </c>
      <c r="I40" s="18">
        <v>31.25</v>
      </c>
      <c r="J40" s="18">
        <v>3.75</v>
      </c>
      <c r="K40" s="7" t="s">
        <v>619</v>
      </c>
    </row>
    <row r="41" spans="1:11" x14ac:dyDescent="0.3">
      <c r="A41" s="16">
        <v>46106</v>
      </c>
      <c r="C41" s="18" t="s">
        <v>466</v>
      </c>
      <c r="D41" s="18" t="s">
        <v>432</v>
      </c>
      <c r="E41" s="18" t="s">
        <v>480</v>
      </c>
      <c r="F41" s="18" t="s">
        <v>738</v>
      </c>
      <c r="G41" s="18" t="s">
        <v>831</v>
      </c>
      <c r="H41" s="18">
        <v>35</v>
      </c>
      <c r="I41" s="18">
        <v>31.25</v>
      </c>
      <c r="J41" s="18">
        <v>3.75</v>
      </c>
      <c r="K41" s="7" t="s">
        <v>619</v>
      </c>
    </row>
    <row r="42" spans="1:11" x14ac:dyDescent="0.3">
      <c r="A42" s="16">
        <v>46107</v>
      </c>
      <c r="C42" s="18" t="s">
        <v>466</v>
      </c>
      <c r="D42" s="18" t="s">
        <v>432</v>
      </c>
      <c r="E42" s="18" t="s">
        <v>480</v>
      </c>
      <c r="F42" s="18" t="s">
        <v>739</v>
      </c>
      <c r="G42" s="18" t="s">
        <v>831</v>
      </c>
      <c r="H42" s="18">
        <v>53</v>
      </c>
      <c r="I42" s="18">
        <v>47.32</v>
      </c>
      <c r="J42" s="18">
        <v>5.68</v>
      </c>
      <c r="K42" s="7" t="s">
        <v>619</v>
      </c>
    </row>
    <row r="43" spans="1:11" x14ac:dyDescent="0.3">
      <c r="A43" s="16">
        <v>46107</v>
      </c>
      <c r="C43" s="18" t="s">
        <v>466</v>
      </c>
      <c r="D43" s="18" t="s">
        <v>432</v>
      </c>
      <c r="E43" s="18" t="s">
        <v>480</v>
      </c>
      <c r="F43" s="18" t="s">
        <v>740</v>
      </c>
      <c r="G43" s="18" t="s">
        <v>831</v>
      </c>
      <c r="H43" s="18">
        <v>35</v>
      </c>
      <c r="I43" s="18">
        <v>31.25</v>
      </c>
      <c r="J43" s="18">
        <v>3.75</v>
      </c>
      <c r="K43" s="7" t="s">
        <v>619</v>
      </c>
    </row>
    <row r="44" spans="1:11" x14ac:dyDescent="0.3">
      <c r="A44" s="16">
        <v>46107</v>
      </c>
      <c r="C44" s="18" t="s">
        <v>466</v>
      </c>
      <c r="D44" s="18" t="s">
        <v>432</v>
      </c>
      <c r="E44" s="18" t="s">
        <v>480</v>
      </c>
      <c r="F44" s="18" t="s">
        <v>741</v>
      </c>
      <c r="G44" s="18" t="s">
        <v>831</v>
      </c>
      <c r="H44" s="18">
        <v>35</v>
      </c>
      <c r="I44" s="18">
        <v>31.25</v>
      </c>
      <c r="J44" s="18">
        <v>3.75</v>
      </c>
      <c r="K44" s="7" t="s">
        <v>619</v>
      </c>
    </row>
    <row r="45" spans="1:11" x14ac:dyDescent="0.3">
      <c r="A45" s="16">
        <v>46108</v>
      </c>
      <c r="C45" s="10"/>
      <c r="D45" s="18" t="s">
        <v>836</v>
      </c>
      <c r="E45" s="10"/>
      <c r="F45" s="10"/>
      <c r="G45" s="10" t="s">
        <v>614</v>
      </c>
      <c r="H45" s="18">
        <v>453</v>
      </c>
      <c r="I45" s="10"/>
      <c r="J45" s="10"/>
      <c r="K45" s="7" t="s">
        <v>618</v>
      </c>
    </row>
    <row r="46" spans="1:11" x14ac:dyDescent="0.3">
      <c r="A46" s="16">
        <v>46109</v>
      </c>
      <c r="C46" s="18" t="s">
        <v>464</v>
      </c>
      <c r="D46" s="18" t="s">
        <v>725</v>
      </c>
      <c r="E46" s="18" t="s">
        <v>480</v>
      </c>
      <c r="F46" s="18" t="s">
        <v>742</v>
      </c>
      <c r="G46" s="18" t="s">
        <v>10</v>
      </c>
      <c r="H46" s="20">
        <v>2246</v>
      </c>
      <c r="I46" s="20">
        <v>2005.36</v>
      </c>
      <c r="J46" s="18">
        <v>240.64</v>
      </c>
      <c r="K46" s="7" t="s">
        <v>619</v>
      </c>
    </row>
    <row r="47" spans="1:11" x14ac:dyDescent="0.3">
      <c r="A47" s="16">
        <v>46085</v>
      </c>
      <c r="C47" s="10"/>
      <c r="D47" s="18" t="s">
        <v>438</v>
      </c>
      <c r="E47" s="10"/>
      <c r="F47" s="10"/>
      <c r="G47" s="10" t="s">
        <v>15</v>
      </c>
      <c r="H47" s="20">
        <v>6892</v>
      </c>
      <c r="I47" s="18">
        <v>0</v>
      </c>
      <c r="J47" s="18">
        <v>0</v>
      </c>
      <c r="K47" s="7" t="s">
        <v>618</v>
      </c>
    </row>
    <row r="48" spans="1:11" x14ac:dyDescent="0.3">
      <c r="A48" s="16">
        <v>46112</v>
      </c>
      <c r="C48" s="10"/>
      <c r="D48" s="18" t="s">
        <v>459</v>
      </c>
      <c r="E48" s="10"/>
      <c r="F48" s="10"/>
      <c r="G48" s="10" t="s">
        <v>15</v>
      </c>
      <c r="H48" s="20">
        <v>15000</v>
      </c>
      <c r="I48" s="18">
        <v>0</v>
      </c>
      <c r="J48" s="18">
        <v>0</v>
      </c>
      <c r="K48" s="7" t="s">
        <v>618</v>
      </c>
    </row>
    <row r="49" spans="1:11" x14ac:dyDescent="0.3">
      <c r="A49" s="16">
        <v>46112</v>
      </c>
      <c r="C49" s="10"/>
      <c r="D49" s="18" t="s">
        <v>460</v>
      </c>
      <c r="E49" s="10"/>
      <c r="F49" s="10"/>
      <c r="G49" s="10" t="s">
        <v>15</v>
      </c>
      <c r="H49" s="20">
        <v>15000</v>
      </c>
      <c r="I49" s="18">
        <v>0</v>
      </c>
      <c r="J49" s="18">
        <v>0</v>
      </c>
      <c r="K49" s="7" t="s">
        <v>618</v>
      </c>
    </row>
    <row r="50" spans="1:11" x14ac:dyDescent="0.3">
      <c r="A50" s="16">
        <v>46112</v>
      </c>
      <c r="C50" s="10"/>
      <c r="D50" s="18" t="s">
        <v>461</v>
      </c>
      <c r="E50" s="10"/>
      <c r="F50" s="10"/>
      <c r="G50" s="10" t="s">
        <v>15</v>
      </c>
      <c r="H50" s="20">
        <v>2000</v>
      </c>
      <c r="I50" s="18">
        <v>0</v>
      </c>
      <c r="J50" s="18">
        <v>0</v>
      </c>
      <c r="K50" s="7" t="s">
        <v>618</v>
      </c>
    </row>
    <row r="51" spans="1:11" x14ac:dyDescent="0.3">
      <c r="A51" s="16">
        <v>46112</v>
      </c>
      <c r="C51" s="10"/>
      <c r="D51" s="18" t="s">
        <v>462</v>
      </c>
      <c r="E51" s="10"/>
      <c r="F51" s="10"/>
      <c r="G51" s="10" t="s">
        <v>835</v>
      </c>
      <c r="H51" s="20">
        <v>20000</v>
      </c>
      <c r="I51" s="18">
        <v>0</v>
      </c>
      <c r="J51" s="18">
        <v>0</v>
      </c>
      <c r="K51" s="7" t="s">
        <v>618</v>
      </c>
    </row>
    <row r="52" spans="1:11" x14ac:dyDescent="0.3">
      <c r="A52" s="16">
        <v>46112</v>
      </c>
      <c r="C52" s="10"/>
      <c r="D52" s="18" t="s">
        <v>463</v>
      </c>
      <c r="E52" s="10"/>
      <c r="F52" s="10"/>
      <c r="G52" s="10" t="s">
        <v>613</v>
      </c>
      <c r="H52" s="20">
        <v>1260</v>
      </c>
      <c r="I52" s="18">
        <v>0</v>
      </c>
      <c r="J52" s="18">
        <v>0</v>
      </c>
      <c r="K52" s="7" t="s">
        <v>618</v>
      </c>
    </row>
    <row r="53" spans="1:11" x14ac:dyDescent="0.3">
      <c r="A53" s="16">
        <v>46092</v>
      </c>
      <c r="C53" s="18" t="s">
        <v>760</v>
      </c>
      <c r="D53" s="18" t="s">
        <v>761</v>
      </c>
      <c r="E53" s="18" t="s">
        <v>480</v>
      </c>
      <c r="F53" s="18" t="s">
        <v>762</v>
      </c>
      <c r="G53" s="18" t="s">
        <v>837</v>
      </c>
      <c r="H53" s="20">
        <v>28000</v>
      </c>
      <c r="I53" s="20">
        <v>25000</v>
      </c>
      <c r="J53" s="20">
        <v>3000</v>
      </c>
      <c r="K53" s="7" t="s">
        <v>619</v>
      </c>
    </row>
    <row r="54" spans="1:11" x14ac:dyDescent="0.3">
      <c r="A54" s="16">
        <v>46092</v>
      </c>
      <c r="C54" s="18" t="s">
        <v>760</v>
      </c>
      <c r="D54" s="18" t="s">
        <v>761</v>
      </c>
      <c r="E54" s="18" t="s">
        <v>480</v>
      </c>
      <c r="F54" s="18" t="s">
        <v>762</v>
      </c>
      <c r="G54" s="18" t="s">
        <v>835</v>
      </c>
      <c r="H54" s="20">
        <v>3812.5</v>
      </c>
      <c r="I54" s="10"/>
      <c r="J54" s="10"/>
      <c r="K54" s="7" t="s">
        <v>618</v>
      </c>
    </row>
    <row r="55" spans="1:11" x14ac:dyDescent="0.3">
      <c r="A55" s="16">
        <v>46111</v>
      </c>
      <c r="C55" s="18" t="s">
        <v>804</v>
      </c>
      <c r="D55" s="18" t="s">
        <v>805</v>
      </c>
      <c r="E55" s="18" t="s">
        <v>813</v>
      </c>
      <c r="F55" s="18" t="s">
        <v>806</v>
      </c>
      <c r="G55" s="18" t="s">
        <v>613</v>
      </c>
      <c r="H55" s="18">
        <v>999</v>
      </c>
      <c r="I55" s="18">
        <v>891.96</v>
      </c>
      <c r="J55" s="18">
        <v>107.04</v>
      </c>
      <c r="K55" s="7" t="s">
        <v>619</v>
      </c>
    </row>
    <row r="56" spans="1:11" x14ac:dyDescent="0.3">
      <c r="A56" s="16">
        <v>46111</v>
      </c>
      <c r="C56" s="18" t="s">
        <v>804</v>
      </c>
      <c r="D56" s="18" t="s">
        <v>805</v>
      </c>
      <c r="E56" s="18" t="s">
        <v>813</v>
      </c>
      <c r="F56" s="18" t="s">
        <v>807</v>
      </c>
      <c r="G56" s="18" t="s">
        <v>613</v>
      </c>
      <c r="H56" s="18">
        <v>999</v>
      </c>
      <c r="I56" s="18">
        <v>891.96</v>
      </c>
      <c r="J56" s="18">
        <v>107.04</v>
      </c>
      <c r="K56" s="7" t="s">
        <v>619</v>
      </c>
    </row>
    <row r="57" spans="1:11" x14ac:dyDescent="0.3">
      <c r="A57" s="16">
        <v>46111</v>
      </c>
      <c r="C57" s="18" t="s">
        <v>804</v>
      </c>
      <c r="D57" s="18" t="s">
        <v>805</v>
      </c>
      <c r="E57" s="18" t="s">
        <v>813</v>
      </c>
      <c r="F57" s="18" t="s">
        <v>808</v>
      </c>
      <c r="G57" s="18" t="s">
        <v>613</v>
      </c>
      <c r="H57" s="18">
        <v>599</v>
      </c>
      <c r="I57" s="18">
        <v>534.82000000000005</v>
      </c>
      <c r="J57" s="18">
        <v>64.180000000000007</v>
      </c>
      <c r="K57" s="7" t="s">
        <v>619</v>
      </c>
    </row>
    <row r="58" spans="1:11" x14ac:dyDescent="0.3">
      <c r="A58" s="16">
        <v>46111</v>
      </c>
      <c r="C58" s="18" t="s">
        <v>804</v>
      </c>
      <c r="D58" s="18" t="s">
        <v>805</v>
      </c>
      <c r="E58" s="18" t="s">
        <v>813</v>
      </c>
      <c r="F58" s="18" t="s">
        <v>809</v>
      </c>
      <c r="G58" s="18" t="s">
        <v>613</v>
      </c>
      <c r="H58" s="18">
        <v>999</v>
      </c>
      <c r="I58" s="18">
        <v>891.96</v>
      </c>
      <c r="J58" s="18">
        <v>107.04</v>
      </c>
      <c r="K58" s="7" t="s">
        <v>619</v>
      </c>
    </row>
    <row r="59" spans="1:11" x14ac:dyDescent="0.3">
      <c r="A59" s="16">
        <v>46112</v>
      </c>
      <c r="C59" s="18" t="s">
        <v>810</v>
      </c>
      <c r="D59" s="18" t="s">
        <v>811</v>
      </c>
      <c r="E59" s="18" t="s">
        <v>654</v>
      </c>
      <c r="F59" s="18" t="s">
        <v>812</v>
      </c>
      <c r="G59" s="18" t="s">
        <v>838</v>
      </c>
      <c r="H59" s="18">
        <v>370</v>
      </c>
      <c r="I59" s="18">
        <v>330.36</v>
      </c>
      <c r="J59" s="18">
        <v>39.64</v>
      </c>
      <c r="K59" s="7" t="s">
        <v>619</v>
      </c>
    </row>
    <row r="60" spans="1:11" x14ac:dyDescent="0.3">
      <c r="A60" s="16">
        <v>46112</v>
      </c>
      <c r="C60" s="18" t="s">
        <v>675</v>
      </c>
      <c r="D60" s="18" t="s">
        <v>723</v>
      </c>
      <c r="E60" s="18" t="s">
        <v>821</v>
      </c>
      <c r="F60" s="18" t="s">
        <v>814</v>
      </c>
      <c r="G60" s="18" t="s">
        <v>838</v>
      </c>
      <c r="H60" s="20">
        <v>43794</v>
      </c>
      <c r="I60" s="20">
        <v>39101.79</v>
      </c>
      <c r="J60" s="20">
        <v>4692.21</v>
      </c>
      <c r="K60" s="7" t="s">
        <v>619</v>
      </c>
    </row>
  </sheetData>
  <autoFilter ref="A1:L60" xr:uid="{91AA18DC-ED48-644B-810F-B730F6B36530}">
    <filterColumn colId="6">
      <filters>
        <filter val="Communication, Light and Water"/>
        <filter val="Delivery Charge &amp; Fee's"/>
        <filter val="fees &amp; charges"/>
        <filter val="Fuel &amp; Oil"/>
        <filter val="insurance"/>
        <filter val="miscellenious"/>
        <filter val="Office Supplies"/>
        <filter val="PROFESSIONAL FEES"/>
        <filter val="Repairs &amp; Maintenance"/>
        <filter val="Representation"/>
        <filter val="Salaries"/>
        <filter val="Transportation and Travel / Toll Fee's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A8EDE-BA75-C646-8DF3-50D932A17B34}">
  <sheetPr filterMode="1"/>
  <dimension ref="A1:L53"/>
  <sheetViews>
    <sheetView workbookViewId="0">
      <selection activeCell="H1" sqref="H1:H1048576"/>
    </sheetView>
  </sheetViews>
  <sheetFormatPr defaultColWidth="11.5546875" defaultRowHeight="14.4" x14ac:dyDescent="0.3"/>
  <sheetData>
    <row r="1" spans="1:12" x14ac:dyDescent="0.3">
      <c r="A1" t="s">
        <v>26</v>
      </c>
      <c r="B1" t="s">
        <v>54</v>
      </c>
      <c r="C1" t="s">
        <v>55</v>
      </c>
      <c r="D1" t="s">
        <v>56</v>
      </c>
      <c r="E1" t="s">
        <v>31</v>
      </c>
      <c r="F1" t="s">
        <v>27</v>
      </c>
      <c r="G1" t="s">
        <v>57</v>
      </c>
      <c r="H1" t="s">
        <v>36</v>
      </c>
      <c r="I1" t="s">
        <v>58</v>
      </c>
      <c r="J1" t="s">
        <v>37</v>
      </c>
      <c r="K1" t="s">
        <v>59</v>
      </c>
      <c r="L1" t="s">
        <v>44</v>
      </c>
    </row>
    <row r="2" spans="1:12" x14ac:dyDescent="0.3">
      <c r="A2" s="16">
        <v>46059</v>
      </c>
      <c r="C2" s="18" t="s">
        <v>652</v>
      </c>
      <c r="D2" s="18" t="s">
        <v>653</v>
      </c>
      <c r="E2" s="18" t="s">
        <v>654</v>
      </c>
      <c r="F2" s="18">
        <v>1718</v>
      </c>
      <c r="G2" s="18" t="s">
        <v>829</v>
      </c>
      <c r="H2" s="20">
        <v>7500</v>
      </c>
      <c r="I2" s="20">
        <v>6696.43</v>
      </c>
      <c r="J2" s="18">
        <v>803.57</v>
      </c>
      <c r="K2" s="7" t="s">
        <v>619</v>
      </c>
    </row>
    <row r="3" spans="1:12" x14ac:dyDescent="0.3">
      <c r="A3" s="16">
        <v>46059</v>
      </c>
      <c r="C3" s="18" t="s">
        <v>652</v>
      </c>
      <c r="D3" s="18" t="s">
        <v>655</v>
      </c>
      <c r="E3" s="18" t="s">
        <v>654</v>
      </c>
      <c r="F3" s="18">
        <v>1717</v>
      </c>
      <c r="G3" s="18" t="s">
        <v>829</v>
      </c>
      <c r="H3" s="20">
        <v>8850</v>
      </c>
      <c r="I3" s="20">
        <v>7901.79</v>
      </c>
      <c r="J3" s="18">
        <v>948.21</v>
      </c>
      <c r="K3" s="7" t="s">
        <v>619</v>
      </c>
    </row>
    <row r="4" spans="1:12" x14ac:dyDescent="0.3">
      <c r="A4" s="16">
        <v>46058</v>
      </c>
      <c r="C4" s="18" t="s">
        <v>464</v>
      </c>
      <c r="D4" s="18" t="s">
        <v>430</v>
      </c>
      <c r="E4" s="18" t="s">
        <v>654</v>
      </c>
      <c r="F4" s="18" t="s">
        <v>656</v>
      </c>
      <c r="G4" t="s">
        <v>10</v>
      </c>
      <c r="H4" s="20">
        <v>2706</v>
      </c>
      <c r="I4" s="20">
        <v>2416.0700000000002</v>
      </c>
      <c r="J4" s="18">
        <v>289.93</v>
      </c>
      <c r="K4" s="7" t="s">
        <v>619</v>
      </c>
    </row>
    <row r="5" spans="1:12" x14ac:dyDescent="0.3">
      <c r="A5" s="16">
        <v>46059</v>
      </c>
      <c r="C5" s="18" t="s">
        <v>464</v>
      </c>
      <c r="D5" s="18" t="s">
        <v>430</v>
      </c>
      <c r="E5" s="18" t="s">
        <v>654</v>
      </c>
      <c r="F5" s="18" t="s">
        <v>657</v>
      </c>
      <c r="G5" t="s">
        <v>10</v>
      </c>
      <c r="H5" s="18">
        <v>459</v>
      </c>
      <c r="I5" s="18">
        <v>409.82</v>
      </c>
      <c r="J5" s="18">
        <v>49.18</v>
      </c>
      <c r="K5" s="7" t="s">
        <v>619</v>
      </c>
    </row>
    <row r="6" spans="1:12" ht="43.2" hidden="1" x14ac:dyDescent="0.3">
      <c r="A6" s="16">
        <v>46056</v>
      </c>
      <c r="C6" s="10"/>
      <c r="D6" s="18" t="s">
        <v>658</v>
      </c>
      <c r="E6" s="10"/>
      <c r="F6" s="18">
        <v>554650</v>
      </c>
      <c r="G6" s="32" t="s">
        <v>830</v>
      </c>
      <c r="H6" s="20">
        <v>3000</v>
      </c>
      <c r="I6" s="10"/>
      <c r="J6" s="10"/>
      <c r="K6" s="7" t="s">
        <v>618</v>
      </c>
    </row>
    <row r="7" spans="1:12" ht="43.2" hidden="1" x14ac:dyDescent="0.3">
      <c r="A7" s="16">
        <v>46056</v>
      </c>
      <c r="C7" s="10"/>
      <c r="D7" s="18" t="s">
        <v>658</v>
      </c>
      <c r="E7" s="10"/>
      <c r="F7" s="18">
        <v>554647</v>
      </c>
      <c r="G7" s="32" t="s">
        <v>830</v>
      </c>
      <c r="H7" s="20">
        <v>3000</v>
      </c>
      <c r="I7" s="10"/>
      <c r="J7" s="10"/>
      <c r="K7" s="7" t="s">
        <v>618</v>
      </c>
    </row>
    <row r="8" spans="1:12" x14ac:dyDescent="0.3">
      <c r="A8" s="16">
        <v>46059</v>
      </c>
      <c r="C8" s="18" t="s">
        <v>471</v>
      </c>
      <c r="D8" s="18" t="s">
        <v>437</v>
      </c>
      <c r="E8" s="18" t="s">
        <v>482</v>
      </c>
      <c r="F8" s="18" t="s">
        <v>659</v>
      </c>
      <c r="G8" t="s">
        <v>831</v>
      </c>
      <c r="H8" s="18">
        <v>135</v>
      </c>
      <c r="I8" s="18">
        <v>120.54</v>
      </c>
      <c r="J8" s="18">
        <v>14.46</v>
      </c>
      <c r="K8" s="7" t="s">
        <v>619</v>
      </c>
    </row>
    <row r="9" spans="1:12" x14ac:dyDescent="0.3">
      <c r="A9" s="16">
        <v>46059</v>
      </c>
      <c r="C9" s="18" t="s">
        <v>466</v>
      </c>
      <c r="D9" s="18" t="s">
        <v>432</v>
      </c>
      <c r="E9" s="18" t="s">
        <v>480</v>
      </c>
      <c r="F9" s="18" t="s">
        <v>660</v>
      </c>
      <c r="G9" t="s">
        <v>831</v>
      </c>
      <c r="H9" s="18">
        <v>49</v>
      </c>
      <c r="I9" s="18">
        <v>43.75</v>
      </c>
      <c r="J9" s="18">
        <v>5.25</v>
      </c>
      <c r="K9" s="7" t="s">
        <v>619</v>
      </c>
    </row>
    <row r="10" spans="1:12" x14ac:dyDescent="0.3">
      <c r="A10" s="16">
        <v>46059</v>
      </c>
      <c r="C10" s="18" t="s">
        <v>469</v>
      </c>
      <c r="D10" s="18" t="s">
        <v>435</v>
      </c>
      <c r="E10" s="18" t="s">
        <v>482</v>
      </c>
      <c r="F10" s="18" t="s">
        <v>661</v>
      </c>
      <c r="G10" t="s">
        <v>831</v>
      </c>
      <c r="H10" s="18">
        <v>160</v>
      </c>
      <c r="I10" s="18">
        <v>142.86000000000001</v>
      </c>
      <c r="J10" s="18">
        <v>17.14</v>
      </c>
      <c r="K10" s="7" t="s">
        <v>619</v>
      </c>
    </row>
    <row r="11" spans="1:12" x14ac:dyDescent="0.3">
      <c r="A11" s="16">
        <v>46059</v>
      </c>
      <c r="C11" s="18" t="s">
        <v>470</v>
      </c>
      <c r="D11" s="18" t="s">
        <v>436</v>
      </c>
      <c r="E11" s="18" t="s">
        <v>482</v>
      </c>
      <c r="F11" s="18" t="s">
        <v>662</v>
      </c>
      <c r="G11" t="s">
        <v>831</v>
      </c>
      <c r="H11" s="18">
        <v>164</v>
      </c>
      <c r="I11" s="18">
        <v>146.43</v>
      </c>
      <c r="J11" s="18">
        <v>17.57</v>
      </c>
      <c r="K11" s="7" t="s">
        <v>619</v>
      </c>
    </row>
    <row r="12" spans="1:12" x14ac:dyDescent="0.3">
      <c r="A12" s="16">
        <v>46059</v>
      </c>
      <c r="C12" s="18" t="s">
        <v>471</v>
      </c>
      <c r="D12" s="18" t="s">
        <v>437</v>
      </c>
      <c r="E12" s="18" t="s">
        <v>482</v>
      </c>
      <c r="F12" s="18" t="s">
        <v>663</v>
      </c>
      <c r="G12" t="s">
        <v>831</v>
      </c>
      <c r="H12" s="18">
        <v>129</v>
      </c>
      <c r="I12" s="18">
        <v>115.18</v>
      </c>
      <c r="J12" s="18">
        <v>13.82</v>
      </c>
      <c r="K12" s="7" t="s">
        <v>619</v>
      </c>
    </row>
    <row r="13" spans="1:12" x14ac:dyDescent="0.3">
      <c r="A13" s="16">
        <v>46059</v>
      </c>
      <c r="C13" s="18" t="s">
        <v>471</v>
      </c>
      <c r="D13" s="18" t="s">
        <v>437</v>
      </c>
      <c r="E13" s="18" t="s">
        <v>482</v>
      </c>
      <c r="F13" s="18" t="s">
        <v>664</v>
      </c>
      <c r="G13" t="s">
        <v>831</v>
      </c>
      <c r="H13" s="18">
        <v>264</v>
      </c>
      <c r="I13" s="18">
        <v>235.71</v>
      </c>
      <c r="J13" s="18">
        <v>28.29</v>
      </c>
      <c r="K13" s="7" t="s">
        <v>619</v>
      </c>
    </row>
    <row r="14" spans="1:12" x14ac:dyDescent="0.3">
      <c r="A14" s="16">
        <v>46059</v>
      </c>
      <c r="C14" s="18" t="s">
        <v>466</v>
      </c>
      <c r="D14" s="18" t="s">
        <v>432</v>
      </c>
      <c r="E14" s="18" t="s">
        <v>480</v>
      </c>
      <c r="F14" s="18" t="s">
        <v>665</v>
      </c>
      <c r="G14" t="s">
        <v>831</v>
      </c>
      <c r="H14" s="18">
        <v>49</v>
      </c>
      <c r="I14" s="18">
        <v>43.75</v>
      </c>
      <c r="J14" s="18">
        <v>5.25</v>
      </c>
      <c r="K14" s="7" t="s">
        <v>619</v>
      </c>
    </row>
    <row r="15" spans="1:12" x14ac:dyDescent="0.3">
      <c r="A15" s="16">
        <v>46059</v>
      </c>
      <c r="C15" s="18" t="s">
        <v>469</v>
      </c>
      <c r="D15" s="18" t="s">
        <v>435</v>
      </c>
      <c r="E15" s="18" t="s">
        <v>482</v>
      </c>
      <c r="F15" s="18" t="s">
        <v>666</v>
      </c>
      <c r="G15" t="s">
        <v>831</v>
      </c>
      <c r="H15" s="18">
        <v>164</v>
      </c>
      <c r="I15" s="18">
        <v>146.43</v>
      </c>
      <c r="J15" s="18">
        <v>17.57</v>
      </c>
      <c r="K15" s="7" t="s">
        <v>619</v>
      </c>
    </row>
    <row r="16" spans="1:12" x14ac:dyDescent="0.3">
      <c r="A16" s="16">
        <v>46056</v>
      </c>
      <c r="C16" s="18" t="s">
        <v>466</v>
      </c>
      <c r="D16" s="18" t="s">
        <v>432</v>
      </c>
      <c r="E16" s="18" t="s">
        <v>480</v>
      </c>
      <c r="F16" s="18" t="s">
        <v>667</v>
      </c>
      <c r="G16" t="s">
        <v>831</v>
      </c>
      <c r="H16" s="18">
        <v>35</v>
      </c>
      <c r="I16" s="18">
        <v>31.25</v>
      </c>
      <c r="J16" s="18">
        <v>3.75</v>
      </c>
      <c r="K16" s="7" t="s">
        <v>619</v>
      </c>
    </row>
    <row r="17" spans="1:11" x14ac:dyDescent="0.3">
      <c r="A17" s="16">
        <v>46056</v>
      </c>
      <c r="C17" s="18" t="s">
        <v>466</v>
      </c>
      <c r="D17" s="18" t="s">
        <v>432</v>
      </c>
      <c r="E17" s="18" t="s">
        <v>480</v>
      </c>
      <c r="F17" s="18" t="s">
        <v>668</v>
      </c>
      <c r="G17" t="s">
        <v>831</v>
      </c>
      <c r="H17" s="18">
        <v>35</v>
      </c>
      <c r="I17" s="18">
        <v>31.25</v>
      </c>
      <c r="J17" s="18">
        <v>3.75</v>
      </c>
      <c r="K17" s="7" t="s">
        <v>619</v>
      </c>
    </row>
    <row r="18" spans="1:11" x14ac:dyDescent="0.3">
      <c r="A18" s="16">
        <v>46055</v>
      </c>
      <c r="C18" s="18" t="s">
        <v>466</v>
      </c>
      <c r="D18" s="18" t="s">
        <v>432</v>
      </c>
      <c r="E18" s="18" t="s">
        <v>480</v>
      </c>
      <c r="F18" s="18" t="s">
        <v>669</v>
      </c>
      <c r="G18" t="s">
        <v>831</v>
      </c>
      <c r="H18" s="18">
        <v>35</v>
      </c>
      <c r="I18" s="18">
        <v>31.25</v>
      </c>
      <c r="J18" s="18">
        <v>3.75</v>
      </c>
      <c r="K18" s="7" t="s">
        <v>619</v>
      </c>
    </row>
    <row r="19" spans="1:11" x14ac:dyDescent="0.3">
      <c r="A19" s="16">
        <v>46057</v>
      </c>
      <c r="C19" s="18" t="s">
        <v>465</v>
      </c>
      <c r="D19" s="18" t="s">
        <v>431</v>
      </c>
      <c r="E19" s="18" t="s">
        <v>480</v>
      </c>
      <c r="F19" s="10"/>
      <c r="G19" s="32" t="s">
        <v>6</v>
      </c>
      <c r="H19" s="20">
        <v>2000</v>
      </c>
      <c r="I19" s="20">
        <v>1785.71</v>
      </c>
      <c r="J19" s="18">
        <v>214.29</v>
      </c>
      <c r="K19" s="7" t="s">
        <v>619</v>
      </c>
    </row>
    <row r="20" spans="1:11" ht="43.2" hidden="1" x14ac:dyDescent="0.3">
      <c r="A20" s="16">
        <v>46069</v>
      </c>
      <c r="C20" s="18" t="s">
        <v>476</v>
      </c>
      <c r="D20" s="18" t="s">
        <v>670</v>
      </c>
      <c r="E20" s="18" t="s">
        <v>671</v>
      </c>
      <c r="F20" s="18">
        <v>120</v>
      </c>
      <c r="G20" s="32" t="s">
        <v>830</v>
      </c>
      <c r="H20" s="20">
        <v>31320</v>
      </c>
      <c r="I20" s="20">
        <v>27964.29</v>
      </c>
      <c r="J20" s="20">
        <v>3355.71</v>
      </c>
      <c r="K20" s="7" t="s">
        <v>619</v>
      </c>
    </row>
    <row r="21" spans="1:11" x14ac:dyDescent="0.3">
      <c r="A21" s="16">
        <v>46069</v>
      </c>
      <c r="C21" s="18" t="s">
        <v>464</v>
      </c>
      <c r="D21" s="18" t="s">
        <v>430</v>
      </c>
      <c r="E21" s="18" t="s">
        <v>654</v>
      </c>
      <c r="F21" s="18" t="s">
        <v>672</v>
      </c>
      <c r="G21" s="18" t="s">
        <v>10</v>
      </c>
      <c r="H21" s="20">
        <v>1412</v>
      </c>
      <c r="I21" s="20">
        <v>1260.71</v>
      </c>
      <c r="J21" s="18">
        <v>151.29</v>
      </c>
      <c r="K21" s="7" t="s">
        <v>619</v>
      </c>
    </row>
    <row r="22" spans="1:11" x14ac:dyDescent="0.3">
      <c r="A22" s="16">
        <v>46069</v>
      </c>
      <c r="C22" s="18" t="s">
        <v>673</v>
      </c>
      <c r="D22" s="18" t="s">
        <v>674</v>
      </c>
      <c r="E22" s="18" t="s">
        <v>654</v>
      </c>
      <c r="F22" s="18">
        <v>313396</v>
      </c>
      <c r="G22" t="s">
        <v>14</v>
      </c>
      <c r="H22" s="20">
        <v>1833</v>
      </c>
      <c r="I22" s="20">
        <v>1636.61</v>
      </c>
      <c r="J22" s="18">
        <v>196.39</v>
      </c>
      <c r="K22" s="7" t="s">
        <v>619</v>
      </c>
    </row>
    <row r="23" spans="1:11" x14ac:dyDescent="0.3">
      <c r="A23" s="16">
        <v>46071</v>
      </c>
      <c r="C23" s="18" t="s">
        <v>479</v>
      </c>
      <c r="D23" s="18" t="s">
        <v>456</v>
      </c>
      <c r="E23" s="18" t="s">
        <v>654</v>
      </c>
      <c r="F23" s="18">
        <v>9298</v>
      </c>
      <c r="G23" s="18" t="s">
        <v>10</v>
      </c>
      <c r="H23" s="20">
        <v>9753.4699999999993</v>
      </c>
      <c r="I23" s="20">
        <v>8708.4599999999991</v>
      </c>
      <c r="J23" s="20">
        <v>1045.01</v>
      </c>
      <c r="K23" s="7" t="s">
        <v>619</v>
      </c>
    </row>
    <row r="24" spans="1:11" x14ac:dyDescent="0.3">
      <c r="A24" s="16">
        <v>46071</v>
      </c>
      <c r="C24" s="18" t="s">
        <v>675</v>
      </c>
      <c r="D24" s="18" t="s">
        <v>676</v>
      </c>
      <c r="E24" s="18" t="s">
        <v>482</v>
      </c>
      <c r="F24" s="18" t="s">
        <v>677</v>
      </c>
      <c r="G24" t="s">
        <v>832</v>
      </c>
      <c r="H24" s="20">
        <v>38006</v>
      </c>
      <c r="I24" s="20">
        <v>33933.93</v>
      </c>
      <c r="J24" s="20">
        <v>4072.07</v>
      </c>
      <c r="K24" s="7" t="s">
        <v>619</v>
      </c>
    </row>
    <row r="25" spans="1:11" x14ac:dyDescent="0.3">
      <c r="A25" s="16">
        <v>46071</v>
      </c>
      <c r="C25" s="18" t="s">
        <v>675</v>
      </c>
      <c r="D25" s="18" t="s">
        <v>676</v>
      </c>
      <c r="E25" s="18" t="s">
        <v>482</v>
      </c>
      <c r="F25" s="18" t="s">
        <v>678</v>
      </c>
      <c r="G25" t="s">
        <v>832</v>
      </c>
      <c r="H25" s="20">
        <v>9408</v>
      </c>
      <c r="I25" s="20">
        <v>8400</v>
      </c>
      <c r="J25" s="20">
        <v>1008</v>
      </c>
      <c r="K25" s="7" t="s">
        <v>619</v>
      </c>
    </row>
    <row r="26" spans="1:11" x14ac:dyDescent="0.3">
      <c r="A26" s="16">
        <v>46071</v>
      </c>
      <c r="C26" s="18" t="s">
        <v>465</v>
      </c>
      <c r="D26" s="18" t="s">
        <v>431</v>
      </c>
      <c r="E26" s="18" t="s">
        <v>679</v>
      </c>
      <c r="F26" s="18" t="s">
        <v>465</v>
      </c>
      <c r="G26" s="18" t="s">
        <v>611</v>
      </c>
      <c r="H26" s="20">
        <v>1000</v>
      </c>
      <c r="I26" s="18">
        <v>892.86</v>
      </c>
      <c r="J26" s="18">
        <v>107.14</v>
      </c>
      <c r="K26" s="7" t="s">
        <v>619</v>
      </c>
    </row>
    <row r="27" spans="1:11" x14ac:dyDescent="0.3">
      <c r="A27" s="16">
        <v>46071</v>
      </c>
      <c r="C27" s="18" t="s">
        <v>466</v>
      </c>
      <c r="D27" s="18" t="s">
        <v>432</v>
      </c>
      <c r="E27" s="18" t="s">
        <v>480</v>
      </c>
      <c r="F27" s="18" t="s">
        <v>680</v>
      </c>
      <c r="G27" s="18" t="s">
        <v>831</v>
      </c>
      <c r="H27" s="18">
        <v>35</v>
      </c>
      <c r="I27" s="18">
        <v>31.25</v>
      </c>
      <c r="J27" s="18">
        <v>3.75</v>
      </c>
      <c r="K27" s="7" t="s">
        <v>619</v>
      </c>
    </row>
    <row r="28" spans="1:11" x14ac:dyDescent="0.3">
      <c r="A28" s="16">
        <v>46073</v>
      </c>
      <c r="C28" s="10"/>
      <c r="D28" s="18" t="s">
        <v>89</v>
      </c>
      <c r="E28" s="18" t="s">
        <v>480</v>
      </c>
      <c r="F28" s="10"/>
      <c r="G28" s="18" t="s">
        <v>10</v>
      </c>
      <c r="H28" s="20">
        <v>6608</v>
      </c>
      <c r="I28" s="10"/>
      <c r="J28" s="10"/>
      <c r="K28" s="7" t="s">
        <v>618</v>
      </c>
    </row>
    <row r="29" spans="1:11" x14ac:dyDescent="0.3">
      <c r="A29" s="16">
        <v>46073</v>
      </c>
      <c r="C29" s="18" t="s">
        <v>465</v>
      </c>
      <c r="D29" s="18" t="s">
        <v>431</v>
      </c>
      <c r="E29" s="18" t="s">
        <v>480</v>
      </c>
      <c r="F29" s="10"/>
      <c r="G29" s="18" t="s">
        <v>6</v>
      </c>
      <c r="H29" s="20">
        <v>1400</v>
      </c>
      <c r="I29" s="20">
        <v>1250</v>
      </c>
      <c r="J29" s="18">
        <v>150</v>
      </c>
      <c r="K29" s="7" t="s">
        <v>619</v>
      </c>
    </row>
    <row r="30" spans="1:11" x14ac:dyDescent="0.3">
      <c r="A30" s="16">
        <v>46072</v>
      </c>
      <c r="C30" s="18" t="s">
        <v>466</v>
      </c>
      <c r="D30" s="18" t="s">
        <v>432</v>
      </c>
      <c r="E30" s="18" t="s">
        <v>480</v>
      </c>
      <c r="F30" s="18" t="s">
        <v>681</v>
      </c>
      <c r="G30" s="18" t="s">
        <v>831</v>
      </c>
      <c r="H30" s="18">
        <v>35</v>
      </c>
      <c r="I30" s="18">
        <v>31.25</v>
      </c>
      <c r="J30" s="18">
        <v>3.75</v>
      </c>
      <c r="K30" s="7" t="s">
        <v>619</v>
      </c>
    </row>
    <row r="31" spans="1:11" x14ac:dyDescent="0.3">
      <c r="A31" s="16">
        <v>46072</v>
      </c>
      <c r="C31" s="18" t="s">
        <v>466</v>
      </c>
      <c r="D31" s="18" t="s">
        <v>432</v>
      </c>
      <c r="E31" s="18" t="s">
        <v>480</v>
      </c>
      <c r="F31" s="18" t="s">
        <v>682</v>
      </c>
      <c r="G31" s="18" t="s">
        <v>831</v>
      </c>
      <c r="H31" s="18">
        <v>64</v>
      </c>
      <c r="I31" s="18">
        <v>57.14</v>
      </c>
      <c r="J31" s="18">
        <v>6.86</v>
      </c>
      <c r="K31" s="7" t="s">
        <v>619</v>
      </c>
    </row>
    <row r="32" spans="1:11" x14ac:dyDescent="0.3">
      <c r="A32" s="16">
        <v>46072</v>
      </c>
      <c r="C32" s="18" t="s">
        <v>466</v>
      </c>
      <c r="D32" s="18" t="s">
        <v>432</v>
      </c>
      <c r="E32" s="18" t="s">
        <v>480</v>
      </c>
      <c r="F32" s="18" t="s">
        <v>683</v>
      </c>
      <c r="G32" s="18" t="s">
        <v>831</v>
      </c>
      <c r="H32" s="18">
        <v>64</v>
      </c>
      <c r="I32" s="18">
        <v>57.14</v>
      </c>
      <c r="J32" s="18">
        <v>6.86</v>
      </c>
      <c r="K32" s="7" t="s">
        <v>619</v>
      </c>
    </row>
    <row r="33" spans="1:11" x14ac:dyDescent="0.3">
      <c r="A33" s="16">
        <v>46072</v>
      </c>
      <c r="C33" s="18" t="s">
        <v>466</v>
      </c>
      <c r="D33" s="18" t="s">
        <v>432</v>
      </c>
      <c r="E33" s="18" t="s">
        <v>480</v>
      </c>
      <c r="F33" s="18" t="s">
        <v>684</v>
      </c>
      <c r="G33" s="18" t="s">
        <v>831</v>
      </c>
      <c r="H33" s="18">
        <v>35</v>
      </c>
      <c r="I33" s="18">
        <v>31.25</v>
      </c>
      <c r="J33" s="18">
        <v>3.75</v>
      </c>
      <c r="K33" s="7" t="s">
        <v>619</v>
      </c>
    </row>
    <row r="34" spans="1:11" x14ac:dyDescent="0.3">
      <c r="A34" s="16">
        <v>46072</v>
      </c>
      <c r="C34" s="18" t="s">
        <v>466</v>
      </c>
      <c r="D34" s="18" t="s">
        <v>432</v>
      </c>
      <c r="E34" s="18" t="s">
        <v>480</v>
      </c>
      <c r="F34" s="18" t="s">
        <v>685</v>
      </c>
      <c r="G34" s="18" t="s">
        <v>831</v>
      </c>
      <c r="H34" s="18">
        <v>35</v>
      </c>
      <c r="I34" s="18">
        <v>31.25</v>
      </c>
      <c r="J34" s="18">
        <v>3.75</v>
      </c>
      <c r="K34" s="7" t="s">
        <v>619</v>
      </c>
    </row>
    <row r="35" spans="1:11" x14ac:dyDescent="0.3">
      <c r="A35" s="16">
        <v>46073</v>
      </c>
      <c r="C35" s="18" t="s">
        <v>466</v>
      </c>
      <c r="D35" s="18" t="s">
        <v>432</v>
      </c>
      <c r="E35" s="18" t="s">
        <v>480</v>
      </c>
      <c r="F35" s="18" t="s">
        <v>686</v>
      </c>
      <c r="G35" s="18" t="s">
        <v>831</v>
      </c>
      <c r="H35" s="18">
        <v>64</v>
      </c>
      <c r="I35" s="18">
        <v>57.14</v>
      </c>
      <c r="J35" s="18">
        <v>6.86</v>
      </c>
      <c r="K35" s="7" t="s">
        <v>619</v>
      </c>
    </row>
    <row r="36" spans="1:11" x14ac:dyDescent="0.3">
      <c r="A36" s="16">
        <v>46073</v>
      </c>
      <c r="C36" s="18" t="s">
        <v>466</v>
      </c>
      <c r="D36" s="18" t="s">
        <v>432</v>
      </c>
      <c r="E36" s="18" t="s">
        <v>480</v>
      </c>
      <c r="F36" s="18" t="s">
        <v>687</v>
      </c>
      <c r="G36" s="18" t="s">
        <v>831</v>
      </c>
      <c r="H36" s="18">
        <v>64</v>
      </c>
      <c r="I36" s="18">
        <v>57.14</v>
      </c>
      <c r="J36" s="18">
        <v>6.86</v>
      </c>
      <c r="K36" s="7" t="s">
        <v>619</v>
      </c>
    </row>
    <row r="37" spans="1:11" x14ac:dyDescent="0.3">
      <c r="A37" s="16">
        <v>46073</v>
      </c>
      <c r="C37" s="18" t="s">
        <v>466</v>
      </c>
      <c r="D37" s="18" t="s">
        <v>432</v>
      </c>
      <c r="E37" s="18" t="s">
        <v>480</v>
      </c>
      <c r="F37" s="18" t="s">
        <v>688</v>
      </c>
      <c r="G37" s="18" t="s">
        <v>831</v>
      </c>
      <c r="H37" s="18">
        <v>35</v>
      </c>
      <c r="I37" s="18">
        <v>31.25</v>
      </c>
      <c r="J37" s="18">
        <v>3.75</v>
      </c>
      <c r="K37" s="7" t="s">
        <v>619</v>
      </c>
    </row>
    <row r="38" spans="1:11" x14ac:dyDescent="0.3">
      <c r="A38" s="16">
        <v>46073</v>
      </c>
      <c r="C38" s="18" t="s">
        <v>466</v>
      </c>
      <c r="D38" s="18" t="s">
        <v>432</v>
      </c>
      <c r="E38" s="18" t="s">
        <v>480</v>
      </c>
      <c r="F38" s="18" t="s">
        <v>689</v>
      </c>
      <c r="G38" s="18" t="s">
        <v>831</v>
      </c>
      <c r="H38" s="18">
        <v>35</v>
      </c>
      <c r="I38" s="18">
        <v>31.25</v>
      </c>
      <c r="J38" s="18">
        <v>3.75</v>
      </c>
      <c r="K38" s="7" t="s">
        <v>619</v>
      </c>
    </row>
    <row r="39" spans="1:11" hidden="1" x14ac:dyDescent="0.3">
      <c r="A39" s="16">
        <v>46072</v>
      </c>
      <c r="C39" s="10"/>
      <c r="D39" s="18" t="s">
        <v>658</v>
      </c>
      <c r="E39" s="18" t="s">
        <v>690</v>
      </c>
      <c r="F39" s="18">
        <v>5562714</v>
      </c>
      <c r="G39" s="18" t="s">
        <v>830</v>
      </c>
      <c r="H39" s="20">
        <v>4000</v>
      </c>
      <c r="I39" s="10"/>
      <c r="J39" s="10"/>
      <c r="K39" s="7" t="s">
        <v>618</v>
      </c>
    </row>
    <row r="40" spans="1:11" x14ac:dyDescent="0.3">
      <c r="A40" s="16">
        <v>46072</v>
      </c>
      <c r="C40" s="18" t="s">
        <v>691</v>
      </c>
      <c r="D40" s="18" t="s">
        <v>692</v>
      </c>
      <c r="E40" s="18" t="s">
        <v>482</v>
      </c>
      <c r="F40" s="18">
        <v>2254</v>
      </c>
      <c r="G40" s="18" t="s">
        <v>14</v>
      </c>
      <c r="H40" s="20">
        <v>1903</v>
      </c>
      <c r="I40" s="20">
        <v>1699.11</v>
      </c>
      <c r="J40" s="18">
        <v>203.89</v>
      </c>
      <c r="K40" s="7" t="s">
        <v>619</v>
      </c>
    </row>
    <row r="41" spans="1:11" x14ac:dyDescent="0.3">
      <c r="A41" s="16">
        <v>46072</v>
      </c>
      <c r="C41" s="10"/>
      <c r="D41" s="18" t="s">
        <v>693</v>
      </c>
      <c r="E41" s="10"/>
      <c r="F41" s="10"/>
      <c r="G41" s="18" t="s">
        <v>14</v>
      </c>
      <c r="H41" s="20">
        <v>2392</v>
      </c>
      <c r="I41" s="10"/>
      <c r="J41" s="10"/>
      <c r="K41" s="7" t="s">
        <v>618</v>
      </c>
    </row>
    <row r="42" spans="1:11" x14ac:dyDescent="0.3">
      <c r="A42" s="16">
        <v>46078</v>
      </c>
      <c r="C42" s="18" t="s">
        <v>464</v>
      </c>
      <c r="D42" s="18" t="s">
        <v>430</v>
      </c>
      <c r="E42" s="18" t="s">
        <v>695</v>
      </c>
      <c r="F42" s="18" t="s">
        <v>694</v>
      </c>
      <c r="G42" s="18" t="s">
        <v>10</v>
      </c>
      <c r="H42" s="18">
        <v>459</v>
      </c>
      <c r="I42" s="18">
        <v>409.82</v>
      </c>
      <c r="J42" s="18">
        <v>49.18</v>
      </c>
      <c r="K42" s="7" t="s">
        <v>619</v>
      </c>
    </row>
    <row r="43" spans="1:11" x14ac:dyDescent="0.3">
      <c r="A43" s="16">
        <v>46080</v>
      </c>
      <c r="C43" s="18" t="s">
        <v>696</v>
      </c>
      <c r="D43" s="18" t="s">
        <v>697</v>
      </c>
      <c r="E43" s="18" t="s">
        <v>695</v>
      </c>
      <c r="F43" s="18">
        <v>22163</v>
      </c>
      <c r="G43" s="18" t="s">
        <v>14</v>
      </c>
      <c r="H43" s="18">
        <v>775</v>
      </c>
      <c r="I43" s="18">
        <v>691.96</v>
      </c>
      <c r="J43" s="18">
        <v>83.04</v>
      </c>
      <c r="K43" s="7" t="s">
        <v>619</v>
      </c>
    </row>
    <row r="44" spans="1:11" x14ac:dyDescent="0.3">
      <c r="A44" s="16">
        <v>46080</v>
      </c>
      <c r="C44" s="18" t="s">
        <v>696</v>
      </c>
      <c r="D44" s="18" t="s">
        <v>697</v>
      </c>
      <c r="E44" s="18" t="s">
        <v>695</v>
      </c>
      <c r="F44" s="18">
        <v>22165</v>
      </c>
      <c r="G44" s="18" t="s">
        <v>14</v>
      </c>
      <c r="H44" s="20">
        <v>1000</v>
      </c>
      <c r="I44" s="18">
        <v>892.86</v>
      </c>
      <c r="J44" s="18">
        <v>107.14</v>
      </c>
      <c r="K44" s="7" t="s">
        <v>619</v>
      </c>
    </row>
    <row r="45" spans="1:11" x14ac:dyDescent="0.3">
      <c r="A45" s="16">
        <v>46080</v>
      </c>
      <c r="C45" s="18" t="s">
        <v>464</v>
      </c>
      <c r="D45" s="18" t="s">
        <v>430</v>
      </c>
      <c r="E45" s="18" t="s">
        <v>654</v>
      </c>
      <c r="F45" s="18" t="s">
        <v>698</v>
      </c>
      <c r="G45" s="18" t="s">
        <v>10</v>
      </c>
      <c r="H45" s="20">
        <v>1442</v>
      </c>
      <c r="I45" s="20">
        <v>1287.5</v>
      </c>
      <c r="J45" s="18">
        <v>154.5</v>
      </c>
      <c r="K45" s="7" t="s">
        <v>619</v>
      </c>
    </row>
    <row r="46" spans="1:11" x14ac:dyDescent="0.3">
      <c r="A46" s="16">
        <v>46080</v>
      </c>
      <c r="C46" s="18" t="s">
        <v>466</v>
      </c>
      <c r="D46" s="18" t="s">
        <v>432</v>
      </c>
      <c r="E46" s="18" t="s">
        <v>480</v>
      </c>
      <c r="F46" s="18" t="s">
        <v>699</v>
      </c>
      <c r="G46" s="18" t="s">
        <v>831</v>
      </c>
      <c r="H46" s="18">
        <v>64</v>
      </c>
      <c r="I46" s="18">
        <v>57.14</v>
      </c>
      <c r="J46" s="18">
        <v>6.86</v>
      </c>
      <c r="K46" s="7" t="s">
        <v>619</v>
      </c>
    </row>
    <row r="47" spans="1:11" x14ac:dyDescent="0.3">
      <c r="A47" s="16">
        <v>46080</v>
      </c>
      <c r="C47" s="18" t="s">
        <v>466</v>
      </c>
      <c r="D47" s="18" t="s">
        <v>432</v>
      </c>
      <c r="E47" s="18" t="s">
        <v>480</v>
      </c>
      <c r="F47" s="18" t="s">
        <v>700</v>
      </c>
      <c r="G47" s="18" t="s">
        <v>831</v>
      </c>
      <c r="H47" s="18">
        <v>64</v>
      </c>
      <c r="I47" s="18">
        <v>57.14</v>
      </c>
      <c r="J47" s="18">
        <v>6.86</v>
      </c>
      <c r="K47" s="7" t="s">
        <v>619</v>
      </c>
    </row>
    <row r="48" spans="1:11" x14ac:dyDescent="0.3">
      <c r="A48" s="16">
        <v>46059</v>
      </c>
      <c r="C48" s="10"/>
      <c r="D48" s="18" t="s">
        <v>438</v>
      </c>
      <c r="E48" s="10"/>
      <c r="F48" s="10"/>
      <c r="G48" s="18" t="s">
        <v>1065</v>
      </c>
      <c r="H48" s="20">
        <v>6892</v>
      </c>
      <c r="I48" s="18">
        <v>0</v>
      </c>
      <c r="J48" s="18">
        <v>0</v>
      </c>
      <c r="K48" s="7" t="s">
        <v>618</v>
      </c>
    </row>
    <row r="49" spans="1:11" x14ac:dyDescent="0.3">
      <c r="A49" s="16">
        <v>46081</v>
      </c>
      <c r="C49" s="10"/>
      <c r="D49" s="18" t="s">
        <v>459</v>
      </c>
      <c r="E49" s="10"/>
      <c r="F49" s="10"/>
      <c r="G49" s="18" t="s">
        <v>1065</v>
      </c>
      <c r="H49" s="20">
        <v>15000</v>
      </c>
      <c r="I49" s="18">
        <v>0</v>
      </c>
      <c r="J49" s="18">
        <v>0</v>
      </c>
      <c r="K49" s="7" t="s">
        <v>618</v>
      </c>
    </row>
    <row r="50" spans="1:11" x14ac:dyDescent="0.3">
      <c r="A50" s="16">
        <v>46081</v>
      </c>
      <c r="C50" s="10"/>
      <c r="D50" s="18" t="s">
        <v>460</v>
      </c>
      <c r="E50" s="10"/>
      <c r="F50" s="10"/>
      <c r="G50" s="18" t="s">
        <v>1065</v>
      </c>
      <c r="H50" s="20">
        <v>15000</v>
      </c>
      <c r="I50" s="18">
        <v>0</v>
      </c>
      <c r="J50" s="18">
        <v>0</v>
      </c>
      <c r="K50" s="7" t="s">
        <v>618</v>
      </c>
    </row>
    <row r="51" spans="1:11" x14ac:dyDescent="0.3">
      <c r="A51" s="16">
        <v>46081</v>
      </c>
      <c r="C51" s="10"/>
      <c r="D51" s="18" t="s">
        <v>461</v>
      </c>
      <c r="E51" s="10"/>
      <c r="F51" s="10"/>
      <c r="G51" s="18" t="s">
        <v>1065</v>
      </c>
      <c r="H51" s="20">
        <v>2000</v>
      </c>
      <c r="I51" s="18">
        <v>0</v>
      </c>
      <c r="J51" s="18">
        <v>0</v>
      </c>
      <c r="K51" s="7" t="s">
        <v>618</v>
      </c>
    </row>
    <row r="52" spans="1:11" x14ac:dyDescent="0.3">
      <c r="A52" s="16">
        <v>46081</v>
      </c>
      <c r="C52" s="10"/>
      <c r="D52" s="18" t="s">
        <v>462</v>
      </c>
      <c r="E52" s="10"/>
      <c r="F52" s="10"/>
      <c r="G52" s="18" t="s">
        <v>832</v>
      </c>
      <c r="H52" s="20">
        <v>20000</v>
      </c>
      <c r="I52" s="18">
        <v>0</v>
      </c>
      <c r="J52" s="18">
        <v>0</v>
      </c>
      <c r="K52" s="7" t="s">
        <v>618</v>
      </c>
    </row>
    <row r="53" spans="1:11" x14ac:dyDescent="0.3">
      <c r="A53" s="16">
        <v>46081</v>
      </c>
      <c r="C53" s="10"/>
      <c r="D53" s="18" t="s">
        <v>463</v>
      </c>
      <c r="E53" s="10"/>
      <c r="F53" s="10"/>
      <c r="G53" s="18" t="s">
        <v>613</v>
      </c>
      <c r="H53" s="20">
        <v>1260</v>
      </c>
      <c r="I53" s="18">
        <v>0</v>
      </c>
      <c r="J53" s="18">
        <v>0</v>
      </c>
      <c r="K53" s="7" t="s">
        <v>618</v>
      </c>
    </row>
  </sheetData>
  <autoFilter ref="A1:L53" xr:uid="{858A8EDE-BA75-C646-8DF3-50D932A17B34}">
    <filterColumn colId="6">
      <filters>
        <filter val="Communication, Light and Water"/>
        <filter val="Delivery Charge &amp; Fee's"/>
        <filter val="Fuel &amp; Oil"/>
        <filter val="Miscellenious"/>
        <filter val="Office Supplies"/>
        <filter val="PROFESSIONAL FEES"/>
        <filter val="salaries"/>
        <filter val="Transportation and Travel / Toll Fee's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C04AC-D244-F240-93CB-9207F1A5D21D}">
  <sheetPr filterMode="1"/>
  <dimension ref="A1:AG76"/>
  <sheetViews>
    <sheetView workbookViewId="0">
      <selection activeCell="I1" sqref="I1"/>
    </sheetView>
  </sheetViews>
  <sheetFormatPr defaultColWidth="11.5546875" defaultRowHeight="14.4" x14ac:dyDescent="0.3"/>
  <cols>
    <col min="3" max="3" width="14.109375" style="43" bestFit="1" customWidth="1"/>
    <col min="8" max="8" width="12.33203125" bestFit="1" customWidth="1"/>
  </cols>
  <sheetData>
    <row r="1" spans="1:12" x14ac:dyDescent="0.3">
      <c r="A1" t="s">
        <v>26</v>
      </c>
      <c r="B1" t="s">
        <v>54</v>
      </c>
      <c r="C1" s="43" t="s">
        <v>55</v>
      </c>
      <c r="D1" t="s">
        <v>56</v>
      </c>
      <c r="E1" t="s">
        <v>31</v>
      </c>
      <c r="F1" t="s">
        <v>27</v>
      </c>
      <c r="G1" t="s">
        <v>57</v>
      </c>
      <c r="H1" t="s">
        <v>36</v>
      </c>
      <c r="I1" t="s">
        <v>37</v>
      </c>
      <c r="J1" t="s">
        <v>37</v>
      </c>
      <c r="K1" t="s">
        <v>59</v>
      </c>
      <c r="L1" t="s">
        <v>44</v>
      </c>
    </row>
    <row r="2" spans="1:12" x14ac:dyDescent="0.3">
      <c r="A2" s="16">
        <v>46027</v>
      </c>
      <c r="B2" s="18"/>
      <c r="C2" s="44" t="s">
        <v>464</v>
      </c>
      <c r="D2" s="18" t="s">
        <v>430</v>
      </c>
      <c r="E2" s="18" t="s">
        <v>480</v>
      </c>
      <c r="F2" s="18" t="s">
        <v>487</v>
      </c>
      <c r="G2" t="s">
        <v>610</v>
      </c>
      <c r="H2" s="18">
        <v>457</v>
      </c>
      <c r="I2" s="18">
        <v>408.04</v>
      </c>
      <c r="J2" s="18">
        <v>48.96</v>
      </c>
      <c r="K2" t="s">
        <v>619</v>
      </c>
    </row>
    <row r="3" spans="1:12" x14ac:dyDescent="0.3">
      <c r="A3" s="16">
        <v>46028</v>
      </c>
      <c r="B3" s="18"/>
      <c r="C3" s="44" t="s">
        <v>465</v>
      </c>
      <c r="D3" s="18" t="s">
        <v>431</v>
      </c>
      <c r="E3" s="18" t="s">
        <v>480</v>
      </c>
      <c r="F3" s="10"/>
      <c r="G3" t="s">
        <v>611</v>
      </c>
      <c r="H3" s="20">
        <v>3022.76</v>
      </c>
      <c r="I3" s="20">
        <v>2698.89</v>
      </c>
      <c r="J3" s="18">
        <v>323.87</v>
      </c>
      <c r="K3" t="s">
        <v>619</v>
      </c>
    </row>
    <row r="4" spans="1:12" x14ac:dyDescent="0.3">
      <c r="A4" s="16">
        <v>46032</v>
      </c>
      <c r="B4" s="18"/>
      <c r="C4" s="44" t="s">
        <v>466</v>
      </c>
      <c r="D4" s="18" t="s">
        <v>432</v>
      </c>
      <c r="E4" s="18" t="s">
        <v>480</v>
      </c>
      <c r="F4" s="18" t="s">
        <v>488</v>
      </c>
      <c r="G4" t="s">
        <v>612</v>
      </c>
      <c r="H4" s="18">
        <v>49</v>
      </c>
      <c r="I4" s="18">
        <v>43.75</v>
      </c>
      <c r="J4" s="18">
        <v>5.25</v>
      </c>
      <c r="K4" t="s">
        <v>619</v>
      </c>
    </row>
    <row r="5" spans="1:12" x14ac:dyDescent="0.3">
      <c r="A5" s="16">
        <v>46034</v>
      </c>
      <c r="B5" s="18"/>
      <c r="C5" s="45"/>
      <c r="D5" s="18" t="s">
        <v>89</v>
      </c>
      <c r="E5" s="10"/>
      <c r="F5" s="10"/>
      <c r="G5" t="s">
        <v>610</v>
      </c>
      <c r="H5" s="20">
        <v>24000</v>
      </c>
      <c r="I5" s="10"/>
      <c r="J5" s="10"/>
      <c r="K5" s="7" t="s">
        <v>618</v>
      </c>
    </row>
    <row r="6" spans="1:12" x14ac:dyDescent="0.3">
      <c r="A6" s="16">
        <v>46052</v>
      </c>
      <c r="B6" s="18"/>
      <c r="C6" s="44" t="s">
        <v>465</v>
      </c>
      <c r="D6" s="18" t="s">
        <v>431</v>
      </c>
      <c r="E6" s="18" t="s">
        <v>480</v>
      </c>
      <c r="F6" s="10"/>
      <c r="G6" s="18" t="s">
        <v>611</v>
      </c>
      <c r="H6" s="20">
        <v>1500</v>
      </c>
      <c r="I6" s="20">
        <v>1339.29</v>
      </c>
      <c r="J6" s="18">
        <v>160.71</v>
      </c>
      <c r="K6" t="s">
        <v>619</v>
      </c>
    </row>
    <row r="7" spans="1:12" x14ac:dyDescent="0.3">
      <c r="A7" s="16">
        <v>46024</v>
      </c>
      <c r="B7" s="18"/>
      <c r="C7" s="44" t="s">
        <v>467</v>
      </c>
      <c r="D7" s="18" t="s">
        <v>433</v>
      </c>
      <c r="E7" s="18" t="s">
        <v>481</v>
      </c>
      <c r="F7" s="18">
        <v>9148655</v>
      </c>
      <c r="G7" t="s">
        <v>613</v>
      </c>
      <c r="H7" s="18">
        <v>599</v>
      </c>
      <c r="I7" s="18">
        <v>534.82000000000005</v>
      </c>
      <c r="J7" s="18">
        <v>64.180000000000007</v>
      </c>
      <c r="K7" t="s">
        <v>619</v>
      </c>
    </row>
    <row r="8" spans="1:12" x14ac:dyDescent="0.3">
      <c r="A8" s="16">
        <v>46024</v>
      </c>
      <c r="B8" s="18"/>
      <c r="C8" s="44" t="s">
        <v>467</v>
      </c>
      <c r="D8" s="18" t="s">
        <v>433</v>
      </c>
      <c r="E8" s="18" t="s">
        <v>481</v>
      </c>
      <c r="F8" s="18">
        <v>9190104</v>
      </c>
      <c r="G8" t="s">
        <v>613</v>
      </c>
      <c r="H8" s="18">
        <v>999</v>
      </c>
      <c r="I8" s="18">
        <v>891.96</v>
      </c>
      <c r="J8" s="18">
        <v>107.04</v>
      </c>
      <c r="K8" t="s">
        <v>619</v>
      </c>
    </row>
    <row r="9" spans="1:12" x14ac:dyDescent="0.3">
      <c r="A9" s="16">
        <v>46024</v>
      </c>
      <c r="B9" s="18"/>
      <c r="C9" s="44" t="s">
        <v>467</v>
      </c>
      <c r="D9" s="18" t="s">
        <v>433</v>
      </c>
      <c r="E9" s="18" t="s">
        <v>481</v>
      </c>
      <c r="F9" s="18">
        <v>547535</v>
      </c>
      <c r="G9" t="s">
        <v>613</v>
      </c>
      <c r="H9" s="18">
        <v>999</v>
      </c>
      <c r="I9" s="18">
        <v>891.96</v>
      </c>
      <c r="J9" s="18">
        <v>107.04</v>
      </c>
      <c r="K9" t="s">
        <v>619</v>
      </c>
    </row>
    <row r="10" spans="1:12" x14ac:dyDescent="0.3">
      <c r="A10" s="16">
        <v>46024</v>
      </c>
      <c r="B10" s="18"/>
      <c r="C10" s="44" t="s">
        <v>467</v>
      </c>
      <c r="D10" s="18" t="s">
        <v>433</v>
      </c>
      <c r="E10" s="18" t="s">
        <v>481</v>
      </c>
      <c r="F10" s="18">
        <v>551096</v>
      </c>
      <c r="G10" t="s">
        <v>613</v>
      </c>
      <c r="H10" s="18">
        <v>999</v>
      </c>
      <c r="I10" s="18">
        <v>891.96</v>
      </c>
      <c r="J10" s="18">
        <v>107.04</v>
      </c>
      <c r="K10" t="s">
        <v>619</v>
      </c>
    </row>
    <row r="11" spans="1:12" x14ac:dyDescent="0.3">
      <c r="A11" s="16">
        <v>46028</v>
      </c>
      <c r="B11" s="18"/>
      <c r="C11" s="44" t="s">
        <v>468</v>
      </c>
      <c r="D11" s="18" t="s">
        <v>434</v>
      </c>
      <c r="E11" s="18" t="s">
        <v>482</v>
      </c>
      <c r="F11" s="18">
        <v>65062</v>
      </c>
      <c r="G11" s="18" t="s">
        <v>610</v>
      </c>
      <c r="H11" s="20">
        <v>11000</v>
      </c>
      <c r="I11" s="20">
        <v>9821.43</v>
      </c>
      <c r="J11" s="20">
        <v>1178.57</v>
      </c>
      <c r="K11" t="s">
        <v>619</v>
      </c>
    </row>
    <row r="12" spans="1:12" x14ac:dyDescent="0.3">
      <c r="A12" s="16">
        <v>46028</v>
      </c>
      <c r="B12" s="18"/>
      <c r="C12" s="44" t="s">
        <v>469</v>
      </c>
      <c r="D12" s="18" t="s">
        <v>435</v>
      </c>
      <c r="E12" s="18" t="s">
        <v>482</v>
      </c>
      <c r="F12" s="18" t="s">
        <v>489</v>
      </c>
      <c r="G12" s="18" t="s">
        <v>612</v>
      </c>
      <c r="H12" s="18">
        <v>96</v>
      </c>
      <c r="I12" s="18">
        <v>85.71</v>
      </c>
      <c r="J12" s="18">
        <v>10.29</v>
      </c>
      <c r="K12" t="s">
        <v>619</v>
      </c>
    </row>
    <row r="13" spans="1:12" x14ac:dyDescent="0.3">
      <c r="A13" s="16">
        <v>46028</v>
      </c>
      <c r="B13" s="18"/>
      <c r="C13" s="44" t="s">
        <v>466</v>
      </c>
      <c r="D13" s="18" t="s">
        <v>432</v>
      </c>
      <c r="E13" s="18" t="s">
        <v>480</v>
      </c>
      <c r="F13" s="18" t="s">
        <v>490</v>
      </c>
      <c r="G13" s="18" t="s">
        <v>612</v>
      </c>
      <c r="H13" s="18">
        <v>49</v>
      </c>
      <c r="I13" s="18">
        <v>43.75</v>
      </c>
      <c r="J13" s="18">
        <v>5.25</v>
      </c>
      <c r="K13" t="s">
        <v>619</v>
      </c>
    </row>
    <row r="14" spans="1:12" x14ac:dyDescent="0.3">
      <c r="A14" s="16">
        <v>46028</v>
      </c>
      <c r="B14" s="18"/>
      <c r="C14" s="44" t="s">
        <v>469</v>
      </c>
      <c r="D14" s="18" t="s">
        <v>435</v>
      </c>
      <c r="E14" s="18" t="s">
        <v>482</v>
      </c>
      <c r="F14" s="18" t="s">
        <v>491</v>
      </c>
      <c r="G14" s="18" t="s">
        <v>612</v>
      </c>
      <c r="H14" s="18">
        <v>71</v>
      </c>
      <c r="I14" s="18">
        <v>63.39</v>
      </c>
      <c r="J14" s="18">
        <v>7.61</v>
      </c>
      <c r="K14" t="s">
        <v>619</v>
      </c>
    </row>
    <row r="15" spans="1:12" x14ac:dyDescent="0.3">
      <c r="A15" s="16">
        <v>46028</v>
      </c>
      <c r="B15" s="18"/>
      <c r="C15" s="44" t="s">
        <v>466</v>
      </c>
      <c r="D15" s="18" t="s">
        <v>432</v>
      </c>
      <c r="E15" s="18" t="s">
        <v>480</v>
      </c>
      <c r="F15" s="18" t="s">
        <v>492</v>
      </c>
      <c r="G15" s="18" t="s">
        <v>612</v>
      </c>
      <c r="H15" s="18">
        <v>49</v>
      </c>
      <c r="I15" s="18">
        <v>43.75</v>
      </c>
      <c r="J15" s="18">
        <v>5.25</v>
      </c>
      <c r="K15" t="s">
        <v>619</v>
      </c>
    </row>
    <row r="16" spans="1:12" x14ac:dyDescent="0.3">
      <c r="A16" s="16">
        <v>46029</v>
      </c>
      <c r="B16" s="18"/>
      <c r="C16" s="44" t="s">
        <v>470</v>
      </c>
      <c r="D16" s="18" t="s">
        <v>436</v>
      </c>
      <c r="E16" s="18" t="s">
        <v>482</v>
      </c>
      <c r="F16" s="18" t="s">
        <v>493</v>
      </c>
      <c r="G16" s="18" t="s">
        <v>612</v>
      </c>
      <c r="H16" s="18">
        <v>164</v>
      </c>
      <c r="I16" s="18">
        <v>146.43</v>
      </c>
      <c r="J16" s="18">
        <v>17.57</v>
      </c>
      <c r="K16" t="s">
        <v>619</v>
      </c>
    </row>
    <row r="17" spans="1:11" x14ac:dyDescent="0.3">
      <c r="A17" s="16">
        <v>46029</v>
      </c>
      <c r="B17" s="18"/>
      <c r="C17" s="44" t="s">
        <v>469</v>
      </c>
      <c r="D17" s="18" t="s">
        <v>435</v>
      </c>
      <c r="E17" s="18" t="s">
        <v>482</v>
      </c>
      <c r="F17" s="18" t="s">
        <v>469</v>
      </c>
      <c r="G17" s="18" t="s">
        <v>612</v>
      </c>
      <c r="H17" s="18">
        <v>160</v>
      </c>
      <c r="I17" s="18">
        <v>142.86000000000001</v>
      </c>
      <c r="J17" s="18">
        <v>17.14</v>
      </c>
      <c r="K17" t="s">
        <v>619</v>
      </c>
    </row>
    <row r="18" spans="1:11" x14ac:dyDescent="0.3">
      <c r="A18" s="16">
        <v>46029</v>
      </c>
      <c r="B18" s="18"/>
      <c r="C18" s="44" t="s">
        <v>466</v>
      </c>
      <c r="D18" s="18" t="s">
        <v>432</v>
      </c>
      <c r="E18" s="18" t="s">
        <v>480</v>
      </c>
      <c r="F18" s="18" t="s">
        <v>494</v>
      </c>
      <c r="G18" s="18" t="s">
        <v>612</v>
      </c>
      <c r="H18" s="18">
        <v>49</v>
      </c>
      <c r="I18" s="18">
        <v>43.75</v>
      </c>
      <c r="J18" s="18">
        <v>5.25</v>
      </c>
      <c r="K18" t="s">
        <v>619</v>
      </c>
    </row>
    <row r="19" spans="1:11" x14ac:dyDescent="0.3">
      <c r="A19" s="16">
        <v>46029</v>
      </c>
      <c r="B19" s="18"/>
      <c r="C19" s="44" t="s">
        <v>471</v>
      </c>
      <c r="D19" s="18" t="s">
        <v>437</v>
      </c>
      <c r="E19" s="18" t="s">
        <v>482</v>
      </c>
      <c r="F19" s="18" t="s">
        <v>495</v>
      </c>
      <c r="G19" s="18" t="s">
        <v>612</v>
      </c>
      <c r="H19" s="18">
        <v>264</v>
      </c>
      <c r="I19" s="18">
        <v>235.71</v>
      </c>
      <c r="J19" s="18">
        <v>28.29</v>
      </c>
      <c r="K19" t="s">
        <v>619</v>
      </c>
    </row>
    <row r="20" spans="1:11" x14ac:dyDescent="0.3">
      <c r="A20" s="16">
        <v>46029</v>
      </c>
      <c r="B20" s="18"/>
      <c r="C20" s="44" t="s">
        <v>471</v>
      </c>
      <c r="D20" s="18" t="s">
        <v>437</v>
      </c>
      <c r="E20" s="18" t="s">
        <v>482</v>
      </c>
      <c r="F20" s="18" t="s">
        <v>496</v>
      </c>
      <c r="G20" s="18" t="s">
        <v>612</v>
      </c>
      <c r="H20" s="18">
        <v>129</v>
      </c>
      <c r="I20" s="18">
        <v>115.18</v>
      </c>
      <c r="J20" s="18">
        <v>13.82</v>
      </c>
      <c r="K20" t="s">
        <v>619</v>
      </c>
    </row>
    <row r="21" spans="1:11" x14ac:dyDescent="0.3">
      <c r="A21" s="16">
        <v>46029</v>
      </c>
      <c r="B21" s="18"/>
      <c r="C21" s="44" t="s">
        <v>470</v>
      </c>
      <c r="D21" s="18" t="s">
        <v>436</v>
      </c>
      <c r="E21" s="18" t="s">
        <v>482</v>
      </c>
      <c r="F21" s="18" t="s">
        <v>497</v>
      </c>
      <c r="G21" s="18" t="s">
        <v>612</v>
      </c>
      <c r="H21" s="18">
        <v>164</v>
      </c>
      <c r="I21" s="18">
        <v>146.43</v>
      </c>
      <c r="J21" s="18">
        <v>17.57</v>
      </c>
      <c r="K21" t="s">
        <v>619</v>
      </c>
    </row>
    <row r="22" spans="1:11" x14ac:dyDescent="0.3">
      <c r="A22" s="16">
        <v>46029</v>
      </c>
      <c r="B22" s="18"/>
      <c r="C22" s="44" t="s">
        <v>469</v>
      </c>
      <c r="D22" s="18" t="s">
        <v>435</v>
      </c>
      <c r="E22" s="18" t="s">
        <v>482</v>
      </c>
      <c r="F22" s="18" t="s">
        <v>498</v>
      </c>
      <c r="G22" s="18" t="s">
        <v>612</v>
      </c>
      <c r="H22" s="18">
        <v>160</v>
      </c>
      <c r="I22" s="18">
        <v>142.86000000000001</v>
      </c>
      <c r="J22" s="18">
        <v>17.14</v>
      </c>
      <c r="K22" t="s">
        <v>619</v>
      </c>
    </row>
    <row r="23" spans="1:11" x14ac:dyDescent="0.3">
      <c r="A23" s="16">
        <v>46029</v>
      </c>
      <c r="B23" s="18"/>
      <c r="C23" s="44" t="s">
        <v>466</v>
      </c>
      <c r="D23" s="18" t="s">
        <v>432</v>
      </c>
      <c r="E23" s="18" t="s">
        <v>480</v>
      </c>
      <c r="F23" s="18" t="s">
        <v>499</v>
      </c>
      <c r="G23" s="18" t="s">
        <v>612</v>
      </c>
      <c r="H23" s="18">
        <v>49</v>
      </c>
      <c r="I23" s="18">
        <v>43.75</v>
      </c>
      <c r="J23" s="18">
        <v>5.25</v>
      </c>
      <c r="K23" t="s">
        <v>619</v>
      </c>
    </row>
    <row r="24" spans="1:11" x14ac:dyDescent="0.3">
      <c r="A24" s="16">
        <v>46029</v>
      </c>
      <c r="B24" s="18"/>
      <c r="C24" s="44" t="s">
        <v>471</v>
      </c>
      <c r="D24" s="18" t="s">
        <v>437</v>
      </c>
      <c r="E24" s="18" t="s">
        <v>482</v>
      </c>
      <c r="F24" s="18" t="s">
        <v>500</v>
      </c>
      <c r="G24" s="18" t="s">
        <v>612</v>
      </c>
      <c r="H24" s="18">
        <v>135</v>
      </c>
      <c r="I24" s="18">
        <v>120.54</v>
      </c>
      <c r="J24" s="18">
        <v>14.46</v>
      </c>
      <c r="K24" t="s">
        <v>619</v>
      </c>
    </row>
    <row r="25" spans="1:11" x14ac:dyDescent="0.3">
      <c r="A25" s="16">
        <v>46029</v>
      </c>
      <c r="B25" s="18"/>
      <c r="C25" s="45"/>
      <c r="D25" s="18" t="s">
        <v>438</v>
      </c>
      <c r="E25" s="10"/>
      <c r="F25" s="10"/>
      <c r="G25" t="s">
        <v>15</v>
      </c>
      <c r="H25" s="20">
        <v>6892</v>
      </c>
      <c r="I25" s="18">
        <v>0</v>
      </c>
      <c r="J25" s="18">
        <v>0</v>
      </c>
      <c r="K25" s="7" t="s">
        <v>618</v>
      </c>
    </row>
    <row r="26" spans="1:11" x14ac:dyDescent="0.3">
      <c r="A26" s="16">
        <v>46030</v>
      </c>
      <c r="B26" s="18"/>
      <c r="C26" s="44" t="s">
        <v>472</v>
      </c>
      <c r="D26" s="18" t="s">
        <v>439</v>
      </c>
      <c r="E26" s="18" t="s">
        <v>480</v>
      </c>
      <c r="F26" s="18">
        <v>3140</v>
      </c>
      <c r="G26" t="s">
        <v>614</v>
      </c>
      <c r="H26" s="20">
        <v>5485</v>
      </c>
      <c r="I26" s="20">
        <v>4897.32</v>
      </c>
      <c r="J26" s="18">
        <v>587.67999999999995</v>
      </c>
      <c r="K26" t="s">
        <v>619</v>
      </c>
    </row>
    <row r="27" spans="1:11" x14ac:dyDescent="0.3">
      <c r="A27" s="16">
        <v>46030</v>
      </c>
      <c r="B27" s="18"/>
      <c r="C27" s="45"/>
      <c r="D27" s="18" t="s">
        <v>440</v>
      </c>
      <c r="E27" s="18" t="s">
        <v>480</v>
      </c>
      <c r="F27" s="18">
        <v>68633456</v>
      </c>
      <c r="G27" t="s">
        <v>615</v>
      </c>
      <c r="H27" s="20">
        <v>8561</v>
      </c>
      <c r="I27" s="10"/>
      <c r="J27" s="10"/>
      <c r="K27" t="s">
        <v>619</v>
      </c>
    </row>
    <row r="28" spans="1:11" x14ac:dyDescent="0.3">
      <c r="A28" s="16">
        <v>46030</v>
      </c>
      <c r="B28" s="18"/>
      <c r="C28" s="45"/>
      <c r="D28" s="18" t="s">
        <v>441</v>
      </c>
      <c r="E28" s="18" t="s">
        <v>480</v>
      </c>
      <c r="F28" s="10"/>
      <c r="G28" t="s">
        <v>615</v>
      </c>
      <c r="H28" s="18">
        <v>640</v>
      </c>
      <c r="I28" s="10"/>
      <c r="J28" s="10"/>
      <c r="K28" t="s">
        <v>618</v>
      </c>
    </row>
    <row r="29" spans="1:11" x14ac:dyDescent="0.3">
      <c r="A29" s="16">
        <v>46030</v>
      </c>
      <c r="B29" s="18"/>
      <c r="C29" s="45"/>
      <c r="D29" s="18" t="s">
        <v>442</v>
      </c>
      <c r="E29" s="18" t="s">
        <v>480</v>
      </c>
      <c r="F29" s="18">
        <v>24305101</v>
      </c>
      <c r="G29" t="s">
        <v>615</v>
      </c>
      <c r="H29" s="18">
        <v>512</v>
      </c>
      <c r="I29" s="10"/>
      <c r="J29" s="10"/>
      <c r="K29" t="s">
        <v>618</v>
      </c>
    </row>
    <row r="30" spans="1:11" x14ac:dyDescent="0.3">
      <c r="A30" s="16">
        <v>46030</v>
      </c>
      <c r="B30" s="18"/>
      <c r="C30" s="45"/>
      <c r="D30" s="18" t="s">
        <v>443</v>
      </c>
      <c r="E30" s="18" t="s">
        <v>480</v>
      </c>
      <c r="F30" s="10"/>
      <c r="G30" t="s">
        <v>615</v>
      </c>
      <c r="H30" s="18">
        <v>65</v>
      </c>
      <c r="I30" s="10"/>
      <c r="J30" s="10"/>
      <c r="K30" t="s">
        <v>618</v>
      </c>
    </row>
    <row r="31" spans="1:11" x14ac:dyDescent="0.3">
      <c r="A31" s="16">
        <v>46030</v>
      </c>
      <c r="B31" s="18"/>
      <c r="C31" s="45"/>
      <c r="D31" s="18" t="s">
        <v>444</v>
      </c>
      <c r="E31" s="18" t="s">
        <v>480</v>
      </c>
      <c r="F31" s="18">
        <v>6863345</v>
      </c>
      <c r="G31" t="s">
        <v>615</v>
      </c>
      <c r="H31" s="20">
        <v>17895.75</v>
      </c>
      <c r="I31" s="10"/>
      <c r="J31" s="10"/>
      <c r="K31" t="s">
        <v>618</v>
      </c>
    </row>
    <row r="32" spans="1:11" x14ac:dyDescent="0.3">
      <c r="A32" s="16">
        <v>46030</v>
      </c>
      <c r="B32" s="18"/>
      <c r="C32" s="45"/>
      <c r="D32" s="18" t="s">
        <v>445</v>
      </c>
      <c r="E32" s="18" t="s">
        <v>480</v>
      </c>
      <c r="F32" s="18">
        <v>147311</v>
      </c>
      <c r="G32" t="s">
        <v>615</v>
      </c>
      <c r="H32" s="20">
        <v>1334</v>
      </c>
      <c r="I32" s="10"/>
      <c r="J32" s="10"/>
      <c r="K32" t="s">
        <v>618</v>
      </c>
    </row>
    <row r="33" spans="1:11" x14ac:dyDescent="0.3">
      <c r="A33" s="16">
        <v>46030</v>
      </c>
      <c r="B33" s="18"/>
      <c r="C33" s="45"/>
      <c r="D33" s="18" t="s">
        <v>446</v>
      </c>
      <c r="E33" s="18" t="s">
        <v>480</v>
      </c>
      <c r="F33" s="18">
        <v>24305102</v>
      </c>
      <c r="G33" t="s">
        <v>615</v>
      </c>
      <c r="H33" s="18">
        <v>674</v>
      </c>
      <c r="I33" s="10"/>
      <c r="J33" s="10"/>
      <c r="K33" t="s">
        <v>618</v>
      </c>
    </row>
    <row r="34" spans="1:11" x14ac:dyDescent="0.3">
      <c r="A34" s="16">
        <v>46031</v>
      </c>
      <c r="B34" s="18"/>
      <c r="C34" s="44" t="s">
        <v>466</v>
      </c>
      <c r="D34" s="18" t="s">
        <v>432</v>
      </c>
      <c r="E34" s="18" t="s">
        <v>480</v>
      </c>
      <c r="F34" s="18" t="s">
        <v>501</v>
      </c>
      <c r="G34" s="18" t="s">
        <v>612</v>
      </c>
      <c r="H34" s="18">
        <v>64</v>
      </c>
      <c r="I34" s="18">
        <v>57.14</v>
      </c>
      <c r="J34" s="18">
        <v>6.86</v>
      </c>
      <c r="K34" t="s">
        <v>619</v>
      </c>
    </row>
    <row r="35" spans="1:11" x14ac:dyDescent="0.3">
      <c r="A35" s="16">
        <v>46032</v>
      </c>
      <c r="B35" s="18"/>
      <c r="C35" s="44" t="s">
        <v>470</v>
      </c>
      <c r="D35" s="18" t="s">
        <v>436</v>
      </c>
      <c r="E35" s="18" t="s">
        <v>482</v>
      </c>
      <c r="F35" s="18" t="s">
        <v>502</v>
      </c>
      <c r="G35" s="18" t="s">
        <v>612</v>
      </c>
      <c r="H35" s="18">
        <v>69</v>
      </c>
      <c r="I35" s="18">
        <v>61.61</v>
      </c>
      <c r="J35" s="18">
        <v>7.39</v>
      </c>
      <c r="K35" t="s">
        <v>619</v>
      </c>
    </row>
    <row r="36" spans="1:11" x14ac:dyDescent="0.3">
      <c r="A36" s="16">
        <v>46032</v>
      </c>
      <c r="B36" s="18"/>
      <c r="C36" s="44" t="s">
        <v>469</v>
      </c>
      <c r="D36" s="18" t="s">
        <v>435</v>
      </c>
      <c r="E36" s="18" t="s">
        <v>482</v>
      </c>
      <c r="F36" s="18" t="s">
        <v>503</v>
      </c>
      <c r="G36" s="18" t="s">
        <v>612</v>
      </c>
      <c r="H36" s="18">
        <v>160</v>
      </c>
      <c r="I36" s="18">
        <v>142.86000000000001</v>
      </c>
      <c r="J36" s="18">
        <v>17.14</v>
      </c>
      <c r="K36" t="s">
        <v>619</v>
      </c>
    </row>
    <row r="37" spans="1:11" x14ac:dyDescent="0.3">
      <c r="A37" s="16">
        <v>46032</v>
      </c>
      <c r="B37" s="18"/>
      <c r="C37" s="44" t="s">
        <v>470</v>
      </c>
      <c r="D37" s="18" t="s">
        <v>436</v>
      </c>
      <c r="E37" s="18" t="s">
        <v>482</v>
      </c>
      <c r="F37" s="18" t="s">
        <v>504</v>
      </c>
      <c r="G37" s="18" t="s">
        <v>612</v>
      </c>
      <c r="H37" s="18">
        <v>72</v>
      </c>
      <c r="I37" s="18">
        <v>64.290000000000006</v>
      </c>
      <c r="J37" s="18">
        <v>7.71</v>
      </c>
      <c r="K37" t="s">
        <v>619</v>
      </c>
    </row>
    <row r="38" spans="1:11" x14ac:dyDescent="0.3">
      <c r="A38" s="16">
        <v>46032</v>
      </c>
      <c r="B38" s="18"/>
      <c r="C38" s="44" t="s">
        <v>471</v>
      </c>
      <c r="D38" s="18" t="s">
        <v>437</v>
      </c>
      <c r="E38" s="18" t="s">
        <v>482</v>
      </c>
      <c r="F38" s="18" t="s">
        <v>505</v>
      </c>
      <c r="G38" s="18" t="s">
        <v>612</v>
      </c>
      <c r="H38" s="18">
        <v>264</v>
      </c>
      <c r="I38" s="18">
        <v>235.71</v>
      </c>
      <c r="J38" s="18">
        <v>28.29</v>
      </c>
      <c r="K38" t="s">
        <v>619</v>
      </c>
    </row>
    <row r="39" spans="1:11" x14ac:dyDescent="0.3">
      <c r="A39" s="16">
        <v>46032</v>
      </c>
      <c r="B39" s="18"/>
      <c r="C39" s="44" t="s">
        <v>473</v>
      </c>
      <c r="D39" s="18" t="s">
        <v>447</v>
      </c>
      <c r="E39" s="18" t="s">
        <v>482</v>
      </c>
      <c r="F39" s="18" t="s">
        <v>506</v>
      </c>
      <c r="G39" s="18" t="s">
        <v>612</v>
      </c>
      <c r="H39" s="18">
        <v>30</v>
      </c>
      <c r="I39" s="18">
        <v>26.79</v>
      </c>
      <c r="J39" s="18">
        <v>3.21</v>
      </c>
      <c r="K39" t="s">
        <v>619</v>
      </c>
    </row>
    <row r="40" spans="1:11" x14ac:dyDescent="0.3">
      <c r="A40" s="16">
        <v>46034</v>
      </c>
      <c r="B40" s="18"/>
      <c r="C40" s="45"/>
      <c r="D40" s="18" t="s">
        <v>448</v>
      </c>
      <c r="E40" s="18" t="s">
        <v>483</v>
      </c>
      <c r="F40" s="18">
        <v>8909</v>
      </c>
      <c r="G40" s="18" t="s">
        <v>614</v>
      </c>
      <c r="H40" s="20">
        <v>1200</v>
      </c>
      <c r="I40" s="20">
        <v>1071.43</v>
      </c>
      <c r="J40" s="18">
        <v>128.57</v>
      </c>
      <c r="K40" t="s">
        <v>619</v>
      </c>
    </row>
    <row r="41" spans="1:11" x14ac:dyDescent="0.3">
      <c r="A41" s="16">
        <v>46035</v>
      </c>
      <c r="B41" s="18"/>
      <c r="C41" s="44" t="s">
        <v>474</v>
      </c>
      <c r="D41" s="18" t="s">
        <v>449</v>
      </c>
      <c r="E41" s="18" t="s">
        <v>480</v>
      </c>
      <c r="F41" s="18">
        <v>21067</v>
      </c>
      <c r="G41" t="s">
        <v>14</v>
      </c>
      <c r="H41" s="20">
        <v>1295</v>
      </c>
      <c r="I41" s="20">
        <v>1156.25</v>
      </c>
      <c r="J41" s="18">
        <v>138.75</v>
      </c>
      <c r="K41" t="s">
        <v>619</v>
      </c>
    </row>
    <row r="42" spans="1:11" x14ac:dyDescent="0.3">
      <c r="A42" s="16">
        <v>46036</v>
      </c>
      <c r="B42" s="18"/>
      <c r="C42" s="44" t="s">
        <v>475</v>
      </c>
      <c r="D42" s="18" t="s">
        <v>450</v>
      </c>
      <c r="E42" s="18" t="s">
        <v>484</v>
      </c>
      <c r="F42" s="18">
        <v>1989</v>
      </c>
      <c r="G42" t="s">
        <v>12</v>
      </c>
      <c r="H42" s="18">
        <v>140</v>
      </c>
      <c r="I42" s="18">
        <v>125</v>
      </c>
      <c r="J42" s="18">
        <v>15</v>
      </c>
      <c r="K42" t="s">
        <v>619</v>
      </c>
    </row>
    <row r="43" spans="1:11" x14ac:dyDescent="0.3">
      <c r="A43" s="16">
        <v>46036</v>
      </c>
      <c r="B43" s="18"/>
      <c r="C43" s="44" t="s">
        <v>465</v>
      </c>
      <c r="D43" s="18" t="s">
        <v>431</v>
      </c>
      <c r="E43" s="18" t="s">
        <v>480</v>
      </c>
      <c r="F43" s="10"/>
      <c r="G43" s="18" t="s">
        <v>611</v>
      </c>
      <c r="H43" s="20">
        <v>2000</v>
      </c>
      <c r="I43" s="20">
        <v>1785.71</v>
      </c>
      <c r="J43" s="18">
        <v>214.29</v>
      </c>
      <c r="K43" t="s">
        <v>619</v>
      </c>
    </row>
    <row r="44" spans="1:11" x14ac:dyDescent="0.3">
      <c r="A44" s="16">
        <v>46036</v>
      </c>
      <c r="B44" s="18"/>
      <c r="C44" s="44" t="s">
        <v>471</v>
      </c>
      <c r="D44" s="18" t="s">
        <v>437</v>
      </c>
      <c r="E44" s="18" t="s">
        <v>482</v>
      </c>
      <c r="F44" s="18" t="s">
        <v>507</v>
      </c>
      <c r="G44" s="18" t="s">
        <v>612</v>
      </c>
      <c r="H44" s="18">
        <v>135</v>
      </c>
      <c r="I44" s="18">
        <v>120.54</v>
      </c>
      <c r="J44" s="18">
        <v>14.46</v>
      </c>
      <c r="K44" t="s">
        <v>619</v>
      </c>
    </row>
    <row r="45" spans="1:11" x14ac:dyDescent="0.3">
      <c r="A45" s="16">
        <v>46036</v>
      </c>
      <c r="B45" s="18"/>
      <c r="C45" s="44" t="s">
        <v>466</v>
      </c>
      <c r="D45" s="18" t="s">
        <v>432</v>
      </c>
      <c r="E45" s="18" t="s">
        <v>480</v>
      </c>
      <c r="F45" s="18" t="s">
        <v>508</v>
      </c>
      <c r="G45" s="18" t="s">
        <v>612</v>
      </c>
      <c r="H45" s="18">
        <v>49</v>
      </c>
      <c r="I45" s="18">
        <v>43.75</v>
      </c>
      <c r="J45" s="18">
        <v>5.25</v>
      </c>
      <c r="K45" t="s">
        <v>619</v>
      </c>
    </row>
    <row r="46" spans="1:11" x14ac:dyDescent="0.3">
      <c r="A46" s="16">
        <v>46036</v>
      </c>
      <c r="B46" s="18"/>
      <c r="C46" s="44" t="s">
        <v>469</v>
      </c>
      <c r="D46" s="18" t="s">
        <v>435</v>
      </c>
      <c r="E46" s="18" t="s">
        <v>482</v>
      </c>
      <c r="F46" s="18" t="s">
        <v>509</v>
      </c>
      <c r="G46" s="18" t="s">
        <v>612</v>
      </c>
      <c r="H46" s="18">
        <v>160</v>
      </c>
      <c r="I46" s="18">
        <v>142.86000000000001</v>
      </c>
      <c r="J46" s="18">
        <v>17.14</v>
      </c>
      <c r="K46" t="s">
        <v>619</v>
      </c>
    </row>
    <row r="47" spans="1:11" x14ac:dyDescent="0.3">
      <c r="A47" s="16">
        <v>46036</v>
      </c>
      <c r="B47" s="18"/>
      <c r="C47" s="44" t="s">
        <v>470</v>
      </c>
      <c r="D47" s="18" t="s">
        <v>436</v>
      </c>
      <c r="E47" s="18" t="s">
        <v>482</v>
      </c>
      <c r="F47" s="18" t="s">
        <v>510</v>
      </c>
      <c r="G47" s="18" t="s">
        <v>612</v>
      </c>
      <c r="H47" s="18">
        <v>164</v>
      </c>
      <c r="I47" s="18">
        <v>146.43</v>
      </c>
      <c r="J47" s="18">
        <v>17.57</v>
      </c>
      <c r="K47" t="s">
        <v>619</v>
      </c>
    </row>
    <row r="48" spans="1:11" x14ac:dyDescent="0.3">
      <c r="A48" s="16">
        <v>46036</v>
      </c>
      <c r="B48" s="18"/>
      <c r="C48" s="44" t="s">
        <v>471</v>
      </c>
      <c r="D48" s="18" t="s">
        <v>437</v>
      </c>
      <c r="E48" s="18" t="s">
        <v>482</v>
      </c>
      <c r="F48" s="18" t="s">
        <v>511</v>
      </c>
      <c r="G48" s="18" t="s">
        <v>612</v>
      </c>
      <c r="H48" s="18">
        <v>129</v>
      </c>
      <c r="I48" s="18">
        <v>115.18</v>
      </c>
      <c r="J48" s="18">
        <v>13.82</v>
      </c>
      <c r="K48" t="s">
        <v>619</v>
      </c>
    </row>
    <row r="49" spans="1:33" x14ac:dyDescent="0.3">
      <c r="A49" s="16">
        <v>46036</v>
      </c>
      <c r="B49" s="18"/>
      <c r="C49" s="44" t="s">
        <v>471</v>
      </c>
      <c r="D49" s="18" t="s">
        <v>437</v>
      </c>
      <c r="E49" s="18" t="s">
        <v>482</v>
      </c>
      <c r="F49" s="18" t="s">
        <v>512</v>
      </c>
      <c r="G49" s="18" t="s">
        <v>612</v>
      </c>
      <c r="H49" s="18">
        <v>264</v>
      </c>
      <c r="I49" s="18">
        <v>235.71</v>
      </c>
      <c r="J49" s="18">
        <v>28.29</v>
      </c>
      <c r="K49" t="s">
        <v>619</v>
      </c>
    </row>
    <row r="50" spans="1:33" x14ac:dyDescent="0.3">
      <c r="A50" s="16">
        <v>46036</v>
      </c>
      <c r="B50" s="18"/>
      <c r="C50" s="44" t="s">
        <v>466</v>
      </c>
      <c r="D50" s="18" t="s">
        <v>432</v>
      </c>
      <c r="E50" s="18" t="s">
        <v>480</v>
      </c>
      <c r="F50" s="18" t="s">
        <v>513</v>
      </c>
      <c r="G50" s="18" t="s">
        <v>612</v>
      </c>
      <c r="H50" s="18">
        <v>49</v>
      </c>
      <c r="I50" s="18">
        <v>43.75</v>
      </c>
      <c r="J50" s="18">
        <v>5.25</v>
      </c>
      <c r="K50" t="s">
        <v>619</v>
      </c>
    </row>
    <row r="51" spans="1:33" x14ac:dyDescent="0.3">
      <c r="A51" s="16">
        <v>46036</v>
      </c>
      <c r="B51" s="18"/>
      <c r="C51" s="44" t="s">
        <v>469</v>
      </c>
      <c r="D51" s="18" t="s">
        <v>435</v>
      </c>
      <c r="E51" s="18" t="s">
        <v>482</v>
      </c>
      <c r="F51" s="18" t="s">
        <v>514</v>
      </c>
      <c r="G51" s="18" t="s">
        <v>612</v>
      </c>
      <c r="H51" s="18">
        <v>160</v>
      </c>
      <c r="I51" s="18">
        <v>142.86000000000001</v>
      </c>
      <c r="J51" s="18">
        <v>17.14</v>
      </c>
      <c r="K51" t="s">
        <v>619</v>
      </c>
    </row>
    <row r="52" spans="1:33" x14ac:dyDescent="0.3">
      <c r="A52" s="16">
        <v>46036</v>
      </c>
      <c r="B52" s="18"/>
      <c r="C52" s="44" t="s">
        <v>470</v>
      </c>
      <c r="D52" s="18" t="s">
        <v>436</v>
      </c>
      <c r="E52" s="18" t="s">
        <v>482</v>
      </c>
      <c r="F52" s="18" t="s">
        <v>515</v>
      </c>
      <c r="G52" s="18" t="s">
        <v>612</v>
      </c>
      <c r="H52" s="18">
        <v>164</v>
      </c>
      <c r="I52" s="18">
        <v>146.43</v>
      </c>
      <c r="J52" s="18">
        <v>17.57</v>
      </c>
      <c r="K52" t="s">
        <v>619</v>
      </c>
    </row>
    <row r="53" spans="1:33" x14ac:dyDescent="0.3">
      <c r="A53" s="16"/>
      <c r="B53" s="18"/>
      <c r="C53" s="44"/>
      <c r="D53" s="18"/>
      <c r="E53" s="18"/>
      <c r="F53" s="18"/>
      <c r="H53" s="20"/>
      <c r="I53" s="20"/>
      <c r="J53" s="20"/>
    </row>
    <row r="54" spans="1:33" x14ac:dyDescent="0.3">
      <c r="A54" s="16">
        <v>46038</v>
      </c>
      <c r="B54" s="18"/>
      <c r="C54" s="45"/>
      <c r="D54" s="18" t="s">
        <v>452</v>
      </c>
      <c r="E54" s="10"/>
      <c r="F54" s="10"/>
      <c r="G54" s="18" t="s">
        <v>615</v>
      </c>
      <c r="H54" s="20">
        <v>5030</v>
      </c>
      <c r="I54" s="10"/>
      <c r="J54" s="10"/>
      <c r="K54" s="7" t="s">
        <v>618</v>
      </c>
    </row>
    <row r="55" spans="1:33" x14ac:dyDescent="0.3">
      <c r="A55" s="16">
        <v>46044</v>
      </c>
      <c r="B55" s="18"/>
      <c r="C55" s="44" t="s">
        <v>464</v>
      </c>
      <c r="D55" s="18" t="s">
        <v>453</v>
      </c>
      <c r="E55" s="18" t="s">
        <v>480</v>
      </c>
      <c r="F55" s="18" t="s">
        <v>516</v>
      </c>
      <c r="G55" s="18" t="s">
        <v>610</v>
      </c>
      <c r="H55" s="18">
        <v>459</v>
      </c>
      <c r="I55" s="18">
        <v>409.82</v>
      </c>
      <c r="J55" s="18">
        <v>49.18</v>
      </c>
      <c r="K55" t="s">
        <v>619</v>
      </c>
    </row>
    <row r="56" spans="1:33" x14ac:dyDescent="0.3">
      <c r="A56" s="16">
        <v>46044</v>
      </c>
      <c r="B56" s="18"/>
      <c r="C56" s="44" t="s">
        <v>477</v>
      </c>
      <c r="D56" s="18" t="s">
        <v>454</v>
      </c>
      <c r="E56" s="18" t="s">
        <v>482</v>
      </c>
      <c r="F56" s="18">
        <v>65063</v>
      </c>
      <c r="G56" s="18" t="s">
        <v>610</v>
      </c>
      <c r="H56" s="20">
        <v>6221</v>
      </c>
      <c r="I56" s="20">
        <v>5554.46</v>
      </c>
      <c r="J56" s="18">
        <v>666.54</v>
      </c>
      <c r="K56" t="s">
        <v>619</v>
      </c>
    </row>
    <row r="57" spans="1:33" x14ac:dyDescent="0.3">
      <c r="A57" s="16">
        <v>46045</v>
      </c>
      <c r="B57" s="18"/>
      <c r="C57" s="44" t="s">
        <v>467</v>
      </c>
      <c r="D57" s="18" t="s">
        <v>433</v>
      </c>
      <c r="E57" s="18" t="s">
        <v>481</v>
      </c>
      <c r="F57" s="18">
        <v>547613</v>
      </c>
      <c r="G57" s="18" t="s">
        <v>613</v>
      </c>
      <c r="H57" s="18">
        <v>599</v>
      </c>
      <c r="I57" s="18">
        <v>534.82000000000005</v>
      </c>
      <c r="J57" s="18">
        <v>64.180000000000007</v>
      </c>
      <c r="K57" t="s">
        <v>619</v>
      </c>
    </row>
    <row r="58" spans="1:33" x14ac:dyDescent="0.3">
      <c r="A58" s="16">
        <v>46045</v>
      </c>
      <c r="B58" s="18"/>
      <c r="C58" s="44" t="s">
        <v>467</v>
      </c>
      <c r="D58" s="18" t="s">
        <v>433</v>
      </c>
      <c r="E58" s="18" t="s">
        <v>481</v>
      </c>
      <c r="F58" s="18">
        <v>9173106</v>
      </c>
      <c r="G58" s="18" t="s">
        <v>613</v>
      </c>
      <c r="H58" s="18">
        <v>999</v>
      </c>
      <c r="I58" s="18">
        <v>891.96</v>
      </c>
      <c r="J58" s="18">
        <v>107.04</v>
      </c>
      <c r="K58" t="s">
        <v>619</v>
      </c>
    </row>
    <row r="59" spans="1:33" x14ac:dyDescent="0.3">
      <c r="A59" s="16">
        <v>46045</v>
      </c>
      <c r="B59" s="18"/>
      <c r="C59" s="44" t="s">
        <v>467</v>
      </c>
      <c r="D59" s="18" t="s">
        <v>433</v>
      </c>
      <c r="E59" s="18" t="s">
        <v>481</v>
      </c>
      <c r="F59" s="18">
        <v>547532</v>
      </c>
      <c r="G59" s="18" t="s">
        <v>613</v>
      </c>
      <c r="H59" s="20">
        <v>1004</v>
      </c>
      <c r="I59" s="18">
        <v>896.43</v>
      </c>
      <c r="J59" s="18">
        <v>107.57</v>
      </c>
      <c r="K59" t="s">
        <v>619</v>
      </c>
    </row>
    <row r="60" spans="1:33" x14ac:dyDescent="0.3">
      <c r="A60" s="16">
        <v>46045</v>
      </c>
      <c r="B60" s="18"/>
      <c r="C60" s="44" t="s">
        <v>467</v>
      </c>
      <c r="D60" s="18" t="s">
        <v>433</v>
      </c>
      <c r="E60" s="18" t="s">
        <v>481</v>
      </c>
      <c r="F60" s="18">
        <v>9166255</v>
      </c>
      <c r="G60" s="18" t="s">
        <v>613</v>
      </c>
      <c r="H60" s="20">
        <v>1004</v>
      </c>
      <c r="I60" s="18">
        <v>896.43</v>
      </c>
      <c r="J60" s="18">
        <v>107.57</v>
      </c>
      <c r="K60" t="s">
        <v>619</v>
      </c>
    </row>
    <row r="61" spans="1:33" ht="16.5" hidden="1" customHeight="1" x14ac:dyDescent="0.3">
      <c r="A61" s="33">
        <v>46050</v>
      </c>
      <c r="C61" s="46" t="s">
        <v>478</v>
      </c>
      <c r="D61" s="34" t="s">
        <v>455</v>
      </c>
      <c r="E61" s="18" t="s">
        <v>482</v>
      </c>
      <c r="F61" s="35" t="s">
        <v>872</v>
      </c>
      <c r="G61" s="18" t="s">
        <v>830</v>
      </c>
      <c r="H61" s="36">
        <v>97450</v>
      </c>
      <c r="I61" s="37">
        <f>H61/1.12</f>
        <v>87008.928571428565</v>
      </c>
      <c r="J61" s="38">
        <f>I61*0.12</f>
        <v>10441.071428571428</v>
      </c>
      <c r="K61" s="38" t="s">
        <v>874</v>
      </c>
      <c r="L61" s="38"/>
      <c r="M61" s="39"/>
      <c r="N61" s="39"/>
      <c r="O61" s="39"/>
      <c r="P61" s="38"/>
      <c r="Q61" s="39"/>
      <c r="R61" s="39"/>
      <c r="S61" s="39"/>
      <c r="T61" s="39"/>
      <c r="U61" s="39"/>
      <c r="V61" s="39"/>
      <c r="W61" s="39"/>
      <c r="X61" s="39"/>
      <c r="Y61" s="40"/>
      <c r="Z61" s="41"/>
      <c r="AA61" s="40"/>
      <c r="AB61" s="40"/>
      <c r="AC61" s="40"/>
      <c r="AD61" s="40"/>
      <c r="AE61" s="40"/>
      <c r="AF61" s="40"/>
      <c r="AG61" s="40"/>
    </row>
    <row r="62" spans="1:33" ht="16.5" hidden="1" customHeight="1" x14ac:dyDescent="0.3">
      <c r="A62" s="33">
        <v>46050</v>
      </c>
      <c r="C62" s="46" t="s">
        <v>478</v>
      </c>
      <c r="D62" s="34" t="s">
        <v>455</v>
      </c>
      <c r="E62" s="18" t="s">
        <v>482</v>
      </c>
      <c r="F62" s="35" t="s">
        <v>873</v>
      </c>
      <c r="G62" s="18" t="s">
        <v>830</v>
      </c>
      <c r="H62" s="36">
        <v>6440</v>
      </c>
      <c r="I62" s="37">
        <f>H62/1.12</f>
        <v>5749.9999999999991</v>
      </c>
      <c r="J62" s="38">
        <f>I62*0.12</f>
        <v>689.99999999999989</v>
      </c>
      <c r="K62" s="38" t="s">
        <v>874</v>
      </c>
      <c r="L62" s="38"/>
      <c r="M62" s="39"/>
      <c r="N62" s="39"/>
      <c r="O62" s="39"/>
      <c r="P62" s="42"/>
      <c r="Q62" s="39"/>
      <c r="R62" s="39"/>
      <c r="S62" s="39"/>
      <c r="T62" s="39"/>
      <c r="U62" s="39"/>
      <c r="V62" s="39"/>
      <c r="W62" s="39"/>
      <c r="X62" s="39"/>
      <c r="Y62" s="40"/>
      <c r="Z62" s="41"/>
      <c r="AA62" s="40"/>
      <c r="AB62" s="40"/>
      <c r="AC62" s="40"/>
      <c r="AD62" s="40"/>
      <c r="AE62" s="40"/>
      <c r="AF62" s="40"/>
      <c r="AG62" s="40"/>
    </row>
    <row r="63" spans="1:33" ht="15.75" customHeight="1" x14ac:dyDescent="0.3">
      <c r="A63" s="16">
        <v>46051</v>
      </c>
      <c r="B63" s="18"/>
      <c r="C63" s="44" t="s">
        <v>466</v>
      </c>
      <c r="D63" s="18" t="s">
        <v>432</v>
      </c>
      <c r="E63" s="18" t="s">
        <v>480</v>
      </c>
      <c r="F63" s="18" t="s">
        <v>517</v>
      </c>
      <c r="G63" s="18" t="s">
        <v>612</v>
      </c>
      <c r="H63" s="18">
        <v>35</v>
      </c>
      <c r="I63" s="18">
        <v>31.25</v>
      </c>
      <c r="J63" s="18">
        <v>3.75</v>
      </c>
      <c r="K63" t="s">
        <v>619</v>
      </c>
    </row>
    <row r="64" spans="1:33" ht="15.75" customHeight="1" x14ac:dyDescent="0.3">
      <c r="A64" s="16">
        <v>46051</v>
      </c>
      <c r="B64" s="18"/>
      <c r="C64" s="44" t="s">
        <v>466</v>
      </c>
      <c r="D64" s="18" t="s">
        <v>432</v>
      </c>
      <c r="E64" s="18" t="s">
        <v>480</v>
      </c>
      <c r="F64" s="18" t="s">
        <v>518</v>
      </c>
      <c r="G64" s="18" t="s">
        <v>612</v>
      </c>
      <c r="H64" s="18">
        <v>35</v>
      </c>
      <c r="I64" s="18">
        <v>31.25</v>
      </c>
      <c r="J64" s="18">
        <v>3.75</v>
      </c>
      <c r="K64" t="s">
        <v>619</v>
      </c>
    </row>
    <row r="65" spans="1:11" ht="15.75" customHeight="1" x14ac:dyDescent="0.3">
      <c r="A65" s="16">
        <v>46051</v>
      </c>
      <c r="B65" s="18"/>
      <c r="C65" s="44" t="s">
        <v>479</v>
      </c>
      <c r="D65" s="18" t="s">
        <v>456</v>
      </c>
      <c r="E65" s="18" t="s">
        <v>480</v>
      </c>
      <c r="F65" s="18">
        <v>9289</v>
      </c>
      <c r="G65" s="18" t="s">
        <v>610</v>
      </c>
      <c r="H65" s="18">
        <v>875.68</v>
      </c>
      <c r="I65" s="18">
        <v>781.86</v>
      </c>
      <c r="J65" s="18">
        <v>93.82</v>
      </c>
      <c r="K65" t="s">
        <v>619</v>
      </c>
    </row>
    <row r="66" spans="1:11" ht="15.75" customHeight="1" x14ac:dyDescent="0.3">
      <c r="A66" s="16">
        <v>46051</v>
      </c>
      <c r="B66" s="18"/>
      <c r="C66" s="44" t="s">
        <v>479</v>
      </c>
      <c r="D66" s="18" t="s">
        <v>456</v>
      </c>
      <c r="E66" s="18" t="s">
        <v>480</v>
      </c>
      <c r="F66" s="18">
        <v>9290</v>
      </c>
      <c r="G66" s="18" t="s">
        <v>610</v>
      </c>
      <c r="H66" s="20">
        <v>8576.7999999999993</v>
      </c>
      <c r="I66" s="20">
        <v>7657.86</v>
      </c>
      <c r="J66" s="18">
        <v>918.94</v>
      </c>
      <c r="K66" t="s">
        <v>619</v>
      </c>
    </row>
    <row r="67" spans="1:11" ht="15.75" customHeight="1" x14ac:dyDescent="0.3">
      <c r="A67" s="16">
        <v>46051</v>
      </c>
      <c r="B67" s="18"/>
      <c r="C67" s="44" t="s">
        <v>479</v>
      </c>
      <c r="D67" s="18" t="s">
        <v>456</v>
      </c>
      <c r="E67" s="18" t="s">
        <v>480</v>
      </c>
      <c r="F67" s="18">
        <v>9291</v>
      </c>
      <c r="G67" s="18" t="s">
        <v>610</v>
      </c>
      <c r="H67" s="20">
        <v>8629.68</v>
      </c>
      <c r="I67" s="20">
        <v>7705.07</v>
      </c>
      <c r="J67" s="18">
        <v>924.61</v>
      </c>
      <c r="K67" t="s">
        <v>619</v>
      </c>
    </row>
    <row r="68" spans="1:11" s="54" customFormat="1" ht="15.75" hidden="1" customHeight="1" x14ac:dyDescent="0.3">
      <c r="A68" s="47">
        <v>46051</v>
      </c>
      <c r="B68" s="48"/>
      <c r="C68" s="49">
        <v>4319887090000</v>
      </c>
      <c r="D68" s="48" t="s">
        <v>876</v>
      </c>
      <c r="E68" s="50" t="s">
        <v>875</v>
      </c>
      <c r="F68" s="50"/>
      <c r="G68" s="51" t="s">
        <v>830</v>
      </c>
      <c r="H68" s="52">
        <v>3950216.64</v>
      </c>
      <c r="I68" s="50"/>
      <c r="J68" s="50"/>
      <c r="K68" s="53" t="s">
        <v>618</v>
      </c>
    </row>
    <row r="69" spans="1:11" ht="15.75" customHeight="1" x14ac:dyDescent="0.3">
      <c r="A69" s="16">
        <v>46052</v>
      </c>
      <c r="B69" s="18"/>
      <c r="C69" s="44" t="s">
        <v>466</v>
      </c>
      <c r="D69" s="18" t="s">
        <v>432</v>
      </c>
      <c r="E69" s="18" t="s">
        <v>480</v>
      </c>
      <c r="F69" s="18" t="s">
        <v>519</v>
      </c>
      <c r="G69" s="18" t="s">
        <v>612</v>
      </c>
      <c r="H69" s="18">
        <v>35</v>
      </c>
      <c r="I69" s="18">
        <v>31.25</v>
      </c>
      <c r="J69" s="18">
        <v>3.75</v>
      </c>
      <c r="K69" t="s">
        <v>619</v>
      </c>
    </row>
    <row r="70" spans="1:11" ht="15.75" customHeight="1" x14ac:dyDescent="0.3">
      <c r="A70" s="16">
        <v>46052</v>
      </c>
      <c r="B70" s="18"/>
      <c r="C70" s="44" t="s">
        <v>466</v>
      </c>
      <c r="D70" s="18" t="s">
        <v>432</v>
      </c>
      <c r="E70" s="18" t="s">
        <v>480</v>
      </c>
      <c r="F70" s="18" t="s">
        <v>520</v>
      </c>
      <c r="G70" s="18" t="s">
        <v>612</v>
      </c>
      <c r="H70" s="18">
        <v>20</v>
      </c>
      <c r="I70" s="18">
        <v>17.86</v>
      </c>
      <c r="J70" s="18">
        <v>2.14</v>
      </c>
      <c r="K70" t="s">
        <v>619</v>
      </c>
    </row>
    <row r="71" spans="1:11" ht="15.75" hidden="1" customHeight="1" x14ac:dyDescent="0.3">
      <c r="A71" s="16">
        <v>46053</v>
      </c>
      <c r="B71" s="18"/>
      <c r="C71" s="45"/>
      <c r="D71" s="18" t="s">
        <v>458</v>
      </c>
      <c r="E71" s="18" t="s">
        <v>486</v>
      </c>
      <c r="F71" s="18">
        <v>5554647</v>
      </c>
      <c r="G71" s="18" t="s">
        <v>616</v>
      </c>
      <c r="H71" s="20">
        <v>3000</v>
      </c>
      <c r="I71" s="10"/>
      <c r="J71" s="10"/>
      <c r="K71" s="7" t="s">
        <v>618</v>
      </c>
    </row>
    <row r="72" spans="1:11" ht="15.75" customHeight="1" x14ac:dyDescent="0.3">
      <c r="A72" s="16">
        <v>46053</v>
      </c>
      <c r="B72" s="18"/>
      <c r="C72" s="45"/>
      <c r="D72" s="18" t="s">
        <v>459</v>
      </c>
      <c r="E72" s="10"/>
      <c r="F72" s="10"/>
      <c r="G72" s="18" t="s">
        <v>15</v>
      </c>
      <c r="H72" s="20">
        <v>15000</v>
      </c>
      <c r="I72" s="18">
        <v>0</v>
      </c>
      <c r="J72" s="18">
        <v>0</v>
      </c>
      <c r="K72" s="7" t="s">
        <v>618</v>
      </c>
    </row>
    <row r="73" spans="1:11" ht="15.75" customHeight="1" x14ac:dyDescent="0.3">
      <c r="A73" s="16">
        <v>46053</v>
      </c>
      <c r="B73" s="18"/>
      <c r="C73" s="45"/>
      <c r="D73" s="18" t="s">
        <v>460</v>
      </c>
      <c r="E73" s="10"/>
      <c r="F73" s="10"/>
      <c r="G73" s="18" t="s">
        <v>15</v>
      </c>
      <c r="H73" s="20">
        <v>15000</v>
      </c>
      <c r="I73" s="18">
        <v>0</v>
      </c>
      <c r="J73" s="18">
        <v>0</v>
      </c>
      <c r="K73" s="7" t="s">
        <v>618</v>
      </c>
    </row>
    <row r="74" spans="1:11" ht="15.75" customHeight="1" x14ac:dyDescent="0.3">
      <c r="A74" s="16">
        <v>46053</v>
      </c>
      <c r="B74" s="18"/>
      <c r="C74" s="45"/>
      <c r="D74" s="18" t="s">
        <v>461</v>
      </c>
      <c r="E74" s="10"/>
      <c r="F74" s="10"/>
      <c r="G74" s="18" t="s">
        <v>15</v>
      </c>
      <c r="H74" s="20">
        <v>2000</v>
      </c>
      <c r="I74" s="18">
        <v>0</v>
      </c>
      <c r="J74" s="18">
        <v>0</v>
      </c>
      <c r="K74" s="7" t="s">
        <v>618</v>
      </c>
    </row>
    <row r="75" spans="1:11" ht="15.75" customHeight="1" x14ac:dyDescent="0.3">
      <c r="A75" s="16">
        <v>46053</v>
      </c>
      <c r="B75" s="18"/>
      <c r="C75" s="45"/>
      <c r="D75" s="18" t="s">
        <v>462</v>
      </c>
      <c r="E75" s="10"/>
      <c r="F75" s="10"/>
      <c r="G75" t="s">
        <v>617</v>
      </c>
      <c r="H75" s="20">
        <v>20000</v>
      </c>
      <c r="I75" s="18">
        <v>0</v>
      </c>
      <c r="J75" s="18">
        <v>0</v>
      </c>
      <c r="K75" s="7" t="s">
        <v>618</v>
      </c>
    </row>
    <row r="76" spans="1:11" ht="15.75" customHeight="1" x14ac:dyDescent="0.3">
      <c r="A76" s="16">
        <v>46053</v>
      </c>
      <c r="B76" s="18"/>
      <c r="C76" s="45"/>
      <c r="D76" s="18" t="s">
        <v>463</v>
      </c>
      <c r="E76" s="10"/>
      <c r="F76" s="10"/>
      <c r="G76" s="18" t="s">
        <v>613</v>
      </c>
      <c r="H76" s="20">
        <v>1260</v>
      </c>
      <c r="I76" s="20">
        <v>1125</v>
      </c>
      <c r="J76" s="18">
        <v>135</v>
      </c>
      <c r="K76" s="7" t="s">
        <v>619</v>
      </c>
    </row>
  </sheetData>
  <autoFilter ref="A1:L76" xr:uid="{36AC04AC-D244-F240-93CB-9207F1A5D21D}">
    <filterColumn colId="6">
      <filters blank="1">
        <filter val="Communication, Light and Water"/>
        <filter val="Delivery Charge &amp; Fee's"/>
        <filter val="Fuel &amp; Oil"/>
        <filter val="Miscellenious"/>
        <filter val="Office Supplies"/>
        <filter val="Permits &amp; Liscense"/>
        <filter val="Repairs &amp; Maintenance"/>
        <filter val="Representation"/>
        <filter val="Salaries"/>
        <filter val="Transportation and Travel / Toll Fee's"/>
      </filters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4"/>
  <sheetViews>
    <sheetView topLeftCell="A27" workbookViewId="0">
      <selection activeCell="G85" sqref="G85"/>
    </sheetView>
  </sheetViews>
  <sheetFormatPr defaultColWidth="8.77734375" defaultRowHeight="14.4" x14ac:dyDescent="0.3"/>
  <cols>
    <col min="1" max="1" width="15" customWidth="1"/>
    <col min="2" max="2" width="25" customWidth="1"/>
    <col min="3" max="3" width="20" customWidth="1"/>
    <col min="4" max="4" width="10" customWidth="1"/>
    <col min="5" max="7" width="12" customWidth="1"/>
    <col min="8" max="12" width="15" customWidth="1"/>
    <col min="13" max="13" width="20" customWidth="1"/>
  </cols>
  <sheetData>
    <row r="1" spans="1:13" x14ac:dyDescent="0.3">
      <c r="A1" t="s">
        <v>60</v>
      </c>
      <c r="B1" t="s">
        <v>61</v>
      </c>
      <c r="C1" t="s">
        <v>57</v>
      </c>
      <c r="D1" t="s">
        <v>34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49</v>
      </c>
    </row>
    <row r="2" spans="1:13" x14ac:dyDescent="0.3">
      <c r="A2" t="s">
        <v>521</v>
      </c>
      <c r="B2" t="s">
        <v>522</v>
      </c>
      <c r="C2" t="s">
        <v>523</v>
      </c>
      <c r="D2" t="s">
        <v>86</v>
      </c>
      <c r="E2">
        <v>31242.41</v>
      </c>
      <c r="G2">
        <v>3</v>
      </c>
    </row>
    <row r="3" spans="1:13" x14ac:dyDescent="0.3">
      <c r="A3" t="s">
        <v>524</v>
      </c>
      <c r="B3" t="s">
        <v>525</v>
      </c>
      <c r="C3" t="s">
        <v>523</v>
      </c>
      <c r="D3" t="s">
        <v>86</v>
      </c>
      <c r="E3">
        <v>7516.84</v>
      </c>
      <c r="G3">
        <v>17</v>
      </c>
    </row>
    <row r="4" spans="1:13" x14ac:dyDescent="0.3">
      <c r="A4">
        <v>3263</v>
      </c>
      <c r="B4" t="s">
        <v>526</v>
      </c>
      <c r="C4" t="s">
        <v>523</v>
      </c>
      <c r="D4" t="s">
        <v>268</v>
      </c>
      <c r="E4">
        <v>3.94</v>
      </c>
      <c r="G4">
        <v>50</v>
      </c>
    </row>
    <row r="5" spans="1:13" x14ac:dyDescent="0.3">
      <c r="A5" t="s">
        <v>527</v>
      </c>
      <c r="B5" t="s">
        <v>528</v>
      </c>
      <c r="C5" t="s">
        <v>523</v>
      </c>
      <c r="D5" t="s">
        <v>86</v>
      </c>
      <c r="E5">
        <v>39800</v>
      </c>
      <c r="G5">
        <v>1</v>
      </c>
    </row>
    <row r="6" spans="1:13" x14ac:dyDescent="0.3">
      <c r="A6">
        <v>3729</v>
      </c>
      <c r="B6" t="s">
        <v>529</v>
      </c>
      <c r="C6" t="s">
        <v>523</v>
      </c>
      <c r="D6" t="s">
        <v>268</v>
      </c>
      <c r="E6">
        <v>1246.51</v>
      </c>
      <c r="G6">
        <v>15</v>
      </c>
    </row>
    <row r="7" spans="1:13" x14ac:dyDescent="0.3">
      <c r="A7" t="s">
        <v>530</v>
      </c>
      <c r="B7" t="s">
        <v>531</v>
      </c>
      <c r="C7" t="s">
        <v>523</v>
      </c>
      <c r="D7" t="s">
        <v>86</v>
      </c>
      <c r="E7">
        <v>109335.98</v>
      </c>
      <c r="G7">
        <v>1</v>
      </c>
    </row>
    <row r="8" spans="1:13" x14ac:dyDescent="0.3">
      <c r="A8" t="s">
        <v>532</v>
      </c>
      <c r="B8" t="s">
        <v>533</v>
      </c>
      <c r="C8" t="s">
        <v>523</v>
      </c>
      <c r="D8" t="s">
        <v>268</v>
      </c>
      <c r="E8">
        <v>25880.91</v>
      </c>
      <c r="G8">
        <v>4</v>
      </c>
    </row>
    <row r="9" spans="1:13" x14ac:dyDescent="0.3">
      <c r="A9" s="22" t="s">
        <v>534</v>
      </c>
      <c r="B9" t="s">
        <v>535</v>
      </c>
      <c r="C9" t="s">
        <v>523</v>
      </c>
      <c r="D9" t="s">
        <v>268</v>
      </c>
      <c r="E9">
        <v>11261.65</v>
      </c>
      <c r="G9">
        <v>3</v>
      </c>
    </row>
    <row r="10" spans="1:13" x14ac:dyDescent="0.3">
      <c r="A10" t="s">
        <v>536</v>
      </c>
      <c r="B10" t="s">
        <v>537</v>
      </c>
      <c r="C10" t="s">
        <v>523</v>
      </c>
      <c r="D10" t="s">
        <v>86</v>
      </c>
      <c r="E10">
        <v>12586</v>
      </c>
      <c r="G10">
        <v>2</v>
      </c>
    </row>
    <row r="11" spans="1:13" x14ac:dyDescent="0.3">
      <c r="A11" s="22">
        <v>3561</v>
      </c>
      <c r="B11" s="22" t="s">
        <v>538</v>
      </c>
      <c r="C11" t="s">
        <v>523</v>
      </c>
      <c r="D11" t="s">
        <v>86</v>
      </c>
      <c r="E11">
        <v>2945.82</v>
      </c>
      <c r="G11">
        <v>5</v>
      </c>
    </row>
    <row r="12" spans="1:13" x14ac:dyDescent="0.3">
      <c r="A12">
        <v>7024</v>
      </c>
      <c r="B12" t="s">
        <v>539</v>
      </c>
      <c r="C12" t="s">
        <v>523</v>
      </c>
      <c r="D12" t="s">
        <v>268</v>
      </c>
      <c r="E12">
        <v>322.05</v>
      </c>
      <c r="G12">
        <v>10</v>
      </c>
    </row>
    <row r="13" spans="1:13" x14ac:dyDescent="0.3">
      <c r="A13">
        <v>3679</v>
      </c>
      <c r="B13" t="s">
        <v>540</v>
      </c>
      <c r="C13" t="s">
        <v>523</v>
      </c>
      <c r="D13" t="s">
        <v>268</v>
      </c>
      <c r="E13">
        <v>87.21</v>
      </c>
      <c r="G13">
        <v>7</v>
      </c>
    </row>
    <row r="14" spans="1:13" x14ac:dyDescent="0.3">
      <c r="A14" t="s">
        <v>541</v>
      </c>
      <c r="B14" t="s">
        <v>541</v>
      </c>
      <c r="C14" t="s">
        <v>523</v>
      </c>
      <c r="D14" t="s">
        <v>268</v>
      </c>
      <c r="E14">
        <v>4500</v>
      </c>
      <c r="G14">
        <v>2</v>
      </c>
    </row>
    <row r="15" spans="1:13" x14ac:dyDescent="0.3">
      <c r="A15" t="s">
        <v>542</v>
      </c>
      <c r="B15" t="s">
        <v>542</v>
      </c>
      <c r="C15" t="s">
        <v>523</v>
      </c>
      <c r="D15" t="s">
        <v>543</v>
      </c>
      <c r="E15">
        <v>1360</v>
      </c>
      <c r="G15">
        <v>6</v>
      </c>
    </row>
    <row r="16" spans="1:13" x14ac:dyDescent="0.3">
      <c r="A16">
        <v>3227</v>
      </c>
      <c r="B16" s="22" t="s">
        <v>544</v>
      </c>
      <c r="C16" t="s">
        <v>523</v>
      </c>
      <c r="D16" t="s">
        <v>86</v>
      </c>
      <c r="E16">
        <v>212.59</v>
      </c>
      <c r="G16">
        <v>24</v>
      </c>
    </row>
    <row r="17" spans="1:7" x14ac:dyDescent="0.3">
      <c r="A17">
        <v>7015</v>
      </c>
      <c r="B17" s="22" t="s">
        <v>545</v>
      </c>
      <c r="C17" t="s">
        <v>523</v>
      </c>
      <c r="D17" t="s">
        <v>86</v>
      </c>
      <c r="E17">
        <v>235.57</v>
      </c>
      <c r="G17">
        <v>14</v>
      </c>
    </row>
    <row r="18" spans="1:7" x14ac:dyDescent="0.3">
      <c r="A18" s="22" t="s">
        <v>546</v>
      </c>
      <c r="B18" t="s">
        <v>547</v>
      </c>
      <c r="C18" t="s">
        <v>523</v>
      </c>
      <c r="D18" t="s">
        <v>548</v>
      </c>
      <c r="E18">
        <v>427.29</v>
      </c>
      <c r="G18">
        <v>3</v>
      </c>
    </row>
    <row r="19" spans="1:7" x14ac:dyDescent="0.3">
      <c r="A19" t="s">
        <v>549</v>
      </c>
      <c r="B19" s="23" t="s">
        <v>550</v>
      </c>
      <c r="C19" t="s">
        <v>523</v>
      </c>
      <c r="D19" t="s">
        <v>86</v>
      </c>
      <c r="E19">
        <v>381</v>
      </c>
      <c r="G19">
        <v>20</v>
      </c>
    </row>
    <row r="20" spans="1:7" x14ac:dyDescent="0.3">
      <c r="A20" t="s">
        <v>551</v>
      </c>
      <c r="B20" t="s">
        <v>864</v>
      </c>
      <c r="C20" t="s">
        <v>523</v>
      </c>
      <c r="D20" t="s">
        <v>268</v>
      </c>
      <c r="E20">
        <v>2875.88</v>
      </c>
      <c r="G20">
        <v>7</v>
      </c>
    </row>
    <row r="21" spans="1:7" x14ac:dyDescent="0.3">
      <c r="A21" t="s">
        <v>552</v>
      </c>
      <c r="B21" t="s">
        <v>553</v>
      </c>
      <c r="C21" t="s">
        <v>523</v>
      </c>
      <c r="D21" t="s">
        <v>268</v>
      </c>
      <c r="E21">
        <v>4293.92</v>
      </c>
      <c r="G21">
        <v>0</v>
      </c>
    </row>
    <row r="22" spans="1:7" x14ac:dyDescent="0.3">
      <c r="A22" t="s">
        <v>843</v>
      </c>
      <c r="B22" t="s">
        <v>554</v>
      </c>
      <c r="C22" t="s">
        <v>523</v>
      </c>
      <c r="D22" t="s">
        <v>268</v>
      </c>
      <c r="E22">
        <v>4771.0200000000004</v>
      </c>
      <c r="G22">
        <v>3</v>
      </c>
    </row>
    <row r="23" spans="1:7" x14ac:dyDescent="0.3">
      <c r="A23" t="s">
        <v>555</v>
      </c>
      <c r="B23" t="s">
        <v>556</v>
      </c>
      <c r="C23" t="s">
        <v>523</v>
      </c>
      <c r="D23" t="s">
        <v>268</v>
      </c>
      <c r="E23">
        <v>4930.0600000000004</v>
      </c>
      <c r="G23">
        <v>0</v>
      </c>
    </row>
    <row r="24" spans="1:7" x14ac:dyDescent="0.3">
      <c r="A24" t="s">
        <v>557</v>
      </c>
      <c r="B24" t="s">
        <v>558</v>
      </c>
      <c r="C24" t="s">
        <v>523</v>
      </c>
      <c r="D24" t="s">
        <v>86</v>
      </c>
      <c r="E24">
        <v>570</v>
      </c>
      <c r="G24">
        <v>5</v>
      </c>
    </row>
    <row r="25" spans="1:7" x14ac:dyDescent="0.3">
      <c r="A25" t="s">
        <v>559</v>
      </c>
      <c r="B25" t="s">
        <v>560</v>
      </c>
      <c r="C25" t="s">
        <v>523</v>
      </c>
      <c r="D25" t="s">
        <v>268</v>
      </c>
      <c r="E25">
        <v>114</v>
      </c>
      <c r="G25">
        <v>14</v>
      </c>
    </row>
    <row r="26" spans="1:7" x14ac:dyDescent="0.3">
      <c r="A26" t="s">
        <v>561</v>
      </c>
      <c r="B26" t="s">
        <v>562</v>
      </c>
      <c r="C26" t="s">
        <v>523</v>
      </c>
      <c r="D26" t="s">
        <v>86</v>
      </c>
      <c r="E26">
        <v>1170.3</v>
      </c>
      <c r="G26">
        <v>14</v>
      </c>
    </row>
    <row r="27" spans="1:7" x14ac:dyDescent="0.3">
      <c r="A27">
        <v>3202</v>
      </c>
      <c r="B27" t="s">
        <v>129</v>
      </c>
      <c r="C27" t="s">
        <v>523</v>
      </c>
      <c r="D27" t="s">
        <v>268</v>
      </c>
      <c r="E27">
        <v>20.97</v>
      </c>
      <c r="G27">
        <v>63</v>
      </c>
    </row>
    <row r="28" spans="1:7" x14ac:dyDescent="0.3">
      <c r="A28" t="s">
        <v>563</v>
      </c>
      <c r="B28" t="s">
        <v>564</v>
      </c>
      <c r="C28" t="s">
        <v>523</v>
      </c>
      <c r="D28" t="s">
        <v>86</v>
      </c>
      <c r="E28">
        <v>242</v>
      </c>
      <c r="G28">
        <v>22</v>
      </c>
    </row>
    <row r="29" spans="1:7" x14ac:dyDescent="0.3">
      <c r="A29" t="s">
        <v>565</v>
      </c>
      <c r="B29" t="s">
        <v>150</v>
      </c>
      <c r="C29" t="s">
        <v>523</v>
      </c>
      <c r="D29" t="s">
        <v>86</v>
      </c>
      <c r="E29">
        <v>160</v>
      </c>
      <c r="G29">
        <v>32</v>
      </c>
    </row>
    <row r="30" spans="1:7" x14ac:dyDescent="0.3">
      <c r="A30" t="s">
        <v>566</v>
      </c>
      <c r="B30" t="s">
        <v>567</v>
      </c>
      <c r="C30" t="s">
        <v>523</v>
      </c>
      <c r="D30" t="s">
        <v>548</v>
      </c>
      <c r="E30">
        <v>649.47</v>
      </c>
      <c r="G30">
        <v>45</v>
      </c>
    </row>
    <row r="31" spans="1:7" x14ac:dyDescent="0.3">
      <c r="A31" t="s">
        <v>568</v>
      </c>
      <c r="B31" t="s">
        <v>85</v>
      </c>
      <c r="C31" t="s">
        <v>523</v>
      </c>
      <c r="D31" t="s">
        <v>86</v>
      </c>
      <c r="E31">
        <v>218.56</v>
      </c>
      <c r="G31">
        <v>37</v>
      </c>
    </row>
    <row r="32" spans="1:7" x14ac:dyDescent="0.3">
      <c r="A32">
        <v>7050</v>
      </c>
      <c r="B32" t="s">
        <v>410</v>
      </c>
      <c r="C32" t="s">
        <v>523</v>
      </c>
      <c r="D32" t="s">
        <v>268</v>
      </c>
      <c r="E32">
        <v>314.48</v>
      </c>
      <c r="G32">
        <v>47</v>
      </c>
    </row>
    <row r="33" spans="1:7" x14ac:dyDescent="0.3">
      <c r="A33" t="s">
        <v>569</v>
      </c>
      <c r="B33" t="s">
        <v>570</v>
      </c>
      <c r="C33" t="s">
        <v>523</v>
      </c>
      <c r="D33" t="s">
        <v>268</v>
      </c>
      <c r="E33">
        <v>301.58</v>
      </c>
      <c r="G33">
        <v>21</v>
      </c>
    </row>
    <row r="34" spans="1:7" x14ac:dyDescent="0.3">
      <c r="A34">
        <v>3366</v>
      </c>
      <c r="B34" t="s">
        <v>571</v>
      </c>
      <c r="C34" t="s">
        <v>523</v>
      </c>
      <c r="D34" t="s">
        <v>268</v>
      </c>
      <c r="E34">
        <v>12.76</v>
      </c>
      <c r="G34">
        <v>35</v>
      </c>
    </row>
    <row r="35" spans="1:7" x14ac:dyDescent="0.3">
      <c r="A35">
        <v>3527</v>
      </c>
      <c r="B35" t="s">
        <v>871</v>
      </c>
      <c r="C35" t="s">
        <v>523</v>
      </c>
      <c r="D35" t="s">
        <v>268</v>
      </c>
      <c r="E35">
        <v>1.17</v>
      </c>
      <c r="G35">
        <v>27</v>
      </c>
    </row>
    <row r="36" spans="1:7" x14ac:dyDescent="0.3">
      <c r="A36" t="s">
        <v>572</v>
      </c>
      <c r="B36" t="s">
        <v>573</v>
      </c>
      <c r="C36" t="s">
        <v>523</v>
      </c>
      <c r="D36" t="s">
        <v>268</v>
      </c>
      <c r="E36">
        <v>7.95</v>
      </c>
      <c r="G36">
        <v>44</v>
      </c>
    </row>
    <row r="37" spans="1:7" x14ac:dyDescent="0.3">
      <c r="A37">
        <v>3627</v>
      </c>
      <c r="B37" t="s">
        <v>574</v>
      </c>
      <c r="C37" t="s">
        <v>523</v>
      </c>
      <c r="D37" t="s">
        <v>268</v>
      </c>
      <c r="E37">
        <v>179.76</v>
      </c>
      <c r="G37">
        <v>18</v>
      </c>
    </row>
    <row r="38" spans="1:7" x14ac:dyDescent="0.3">
      <c r="A38">
        <v>3628</v>
      </c>
      <c r="B38" t="s">
        <v>575</v>
      </c>
      <c r="C38" t="s">
        <v>523</v>
      </c>
      <c r="D38" t="s">
        <v>268</v>
      </c>
      <c r="E38">
        <v>400.24</v>
      </c>
      <c r="G38">
        <v>11</v>
      </c>
    </row>
    <row r="39" spans="1:7" x14ac:dyDescent="0.3">
      <c r="A39" s="22" t="s">
        <v>576</v>
      </c>
      <c r="B39" t="s">
        <v>577</v>
      </c>
      <c r="C39" t="s">
        <v>523</v>
      </c>
      <c r="D39" t="s">
        <v>268</v>
      </c>
      <c r="E39">
        <v>473.3</v>
      </c>
      <c r="G39">
        <v>41</v>
      </c>
    </row>
    <row r="40" spans="1:7" x14ac:dyDescent="0.3">
      <c r="A40" s="22" t="s">
        <v>578</v>
      </c>
      <c r="B40" t="s">
        <v>53</v>
      </c>
      <c r="C40" t="s">
        <v>523</v>
      </c>
      <c r="D40" t="s">
        <v>268</v>
      </c>
      <c r="E40">
        <v>521.99</v>
      </c>
      <c r="G40">
        <v>33</v>
      </c>
    </row>
    <row r="41" spans="1:7" x14ac:dyDescent="0.3">
      <c r="A41">
        <v>3371</v>
      </c>
      <c r="B41" t="s">
        <v>579</v>
      </c>
      <c r="C41" t="s">
        <v>523</v>
      </c>
      <c r="D41" t="s">
        <v>86</v>
      </c>
      <c r="E41">
        <v>37.49</v>
      </c>
      <c r="G41">
        <v>107</v>
      </c>
    </row>
    <row r="42" spans="1:7" x14ac:dyDescent="0.3">
      <c r="A42">
        <v>3442</v>
      </c>
      <c r="B42" t="s">
        <v>148</v>
      </c>
      <c r="C42" t="s">
        <v>523</v>
      </c>
      <c r="D42" t="s">
        <v>149</v>
      </c>
      <c r="E42">
        <v>119.01</v>
      </c>
      <c r="G42">
        <v>82</v>
      </c>
    </row>
    <row r="43" spans="1:7" x14ac:dyDescent="0.3">
      <c r="A43" t="s">
        <v>580</v>
      </c>
      <c r="B43" t="s">
        <v>581</v>
      </c>
      <c r="C43" t="s">
        <v>523</v>
      </c>
      <c r="D43" t="s">
        <v>149</v>
      </c>
      <c r="E43">
        <v>67.34</v>
      </c>
      <c r="G43">
        <v>402</v>
      </c>
    </row>
    <row r="44" spans="1:7" x14ac:dyDescent="0.3">
      <c r="A44">
        <v>3272</v>
      </c>
      <c r="B44" t="s">
        <v>368</v>
      </c>
      <c r="C44" t="s">
        <v>523</v>
      </c>
      <c r="D44" t="s">
        <v>149</v>
      </c>
      <c r="E44">
        <v>55.02</v>
      </c>
      <c r="G44">
        <v>103</v>
      </c>
    </row>
    <row r="45" spans="1:7" x14ac:dyDescent="0.3">
      <c r="A45" t="s">
        <v>582</v>
      </c>
      <c r="B45" t="s">
        <v>583</v>
      </c>
      <c r="C45" t="s">
        <v>523</v>
      </c>
      <c r="D45" t="s">
        <v>268</v>
      </c>
      <c r="E45">
        <v>353.03</v>
      </c>
      <c r="G45">
        <v>18</v>
      </c>
    </row>
    <row r="46" spans="1:7" x14ac:dyDescent="0.3">
      <c r="A46">
        <v>3661</v>
      </c>
      <c r="B46" t="s">
        <v>584</v>
      </c>
      <c r="C46" t="s">
        <v>523</v>
      </c>
      <c r="D46" t="s">
        <v>268</v>
      </c>
      <c r="E46">
        <v>254.79</v>
      </c>
      <c r="G46">
        <v>40</v>
      </c>
    </row>
    <row r="47" spans="1:7" x14ac:dyDescent="0.3">
      <c r="A47" t="s">
        <v>585</v>
      </c>
      <c r="B47" t="s">
        <v>586</v>
      </c>
      <c r="C47" t="s">
        <v>523</v>
      </c>
      <c r="D47" t="s">
        <v>268</v>
      </c>
      <c r="E47">
        <v>98</v>
      </c>
      <c r="G47">
        <v>7</v>
      </c>
    </row>
    <row r="48" spans="1:7" x14ac:dyDescent="0.3">
      <c r="A48" t="s">
        <v>587</v>
      </c>
      <c r="B48" t="s">
        <v>588</v>
      </c>
      <c r="C48" t="s">
        <v>523</v>
      </c>
      <c r="D48" t="s">
        <v>268</v>
      </c>
      <c r="E48">
        <v>100.8</v>
      </c>
      <c r="G48">
        <v>46</v>
      </c>
    </row>
    <row r="49" spans="1:7" x14ac:dyDescent="0.3">
      <c r="A49" t="s">
        <v>589</v>
      </c>
      <c r="B49" t="s">
        <v>590</v>
      </c>
      <c r="C49" t="s">
        <v>523</v>
      </c>
      <c r="D49" t="s">
        <v>268</v>
      </c>
      <c r="E49">
        <v>16.309999999999999</v>
      </c>
      <c r="G49">
        <v>52</v>
      </c>
    </row>
    <row r="50" spans="1:7" x14ac:dyDescent="0.3">
      <c r="A50" t="s">
        <v>591</v>
      </c>
      <c r="B50" t="s">
        <v>592</v>
      </c>
      <c r="C50" t="s">
        <v>523</v>
      </c>
      <c r="D50" t="s">
        <v>268</v>
      </c>
      <c r="E50">
        <v>181.92</v>
      </c>
      <c r="G50">
        <v>39</v>
      </c>
    </row>
    <row r="51" spans="1:7" x14ac:dyDescent="0.3">
      <c r="A51">
        <v>3662</v>
      </c>
      <c r="B51" t="s">
        <v>593</v>
      </c>
      <c r="C51" t="s">
        <v>523</v>
      </c>
      <c r="D51" t="s">
        <v>268</v>
      </c>
      <c r="E51">
        <v>33.6</v>
      </c>
      <c r="G51">
        <v>9</v>
      </c>
    </row>
    <row r="52" spans="1:7" x14ac:dyDescent="0.3">
      <c r="A52">
        <v>7262</v>
      </c>
      <c r="B52" t="s">
        <v>594</v>
      </c>
      <c r="C52" t="s">
        <v>523</v>
      </c>
      <c r="D52" t="s">
        <v>268</v>
      </c>
      <c r="E52">
        <v>43.29</v>
      </c>
      <c r="G52">
        <v>63</v>
      </c>
    </row>
    <row r="53" spans="1:7" x14ac:dyDescent="0.3">
      <c r="A53">
        <v>3665</v>
      </c>
      <c r="B53" t="s">
        <v>595</v>
      </c>
      <c r="C53" t="s">
        <v>523</v>
      </c>
      <c r="D53" t="s">
        <v>596</v>
      </c>
      <c r="E53">
        <v>43.13</v>
      </c>
      <c r="G53">
        <v>9</v>
      </c>
    </row>
    <row r="54" spans="1:7" x14ac:dyDescent="0.3">
      <c r="A54">
        <v>3664</v>
      </c>
      <c r="B54" t="s">
        <v>597</v>
      </c>
      <c r="C54" t="s">
        <v>523</v>
      </c>
      <c r="D54" t="s">
        <v>268</v>
      </c>
      <c r="E54">
        <v>130.87</v>
      </c>
      <c r="G54">
        <v>16</v>
      </c>
    </row>
    <row r="55" spans="1:7" x14ac:dyDescent="0.3">
      <c r="A55" t="s">
        <v>598</v>
      </c>
      <c r="B55" t="s">
        <v>599</v>
      </c>
      <c r="C55" t="s">
        <v>523</v>
      </c>
      <c r="D55" t="s">
        <v>86</v>
      </c>
      <c r="E55">
        <v>1044.3399999999999</v>
      </c>
      <c r="G55">
        <v>33</v>
      </c>
    </row>
    <row r="56" spans="1:7" x14ac:dyDescent="0.3">
      <c r="A56" t="s">
        <v>600</v>
      </c>
      <c r="B56" t="s">
        <v>601</v>
      </c>
      <c r="C56" t="s">
        <v>523</v>
      </c>
      <c r="D56" t="s">
        <v>86</v>
      </c>
      <c r="E56">
        <v>165.73</v>
      </c>
      <c r="G56">
        <v>14</v>
      </c>
    </row>
    <row r="57" spans="1:7" x14ac:dyDescent="0.3">
      <c r="A57">
        <v>3211</v>
      </c>
      <c r="B57" t="s">
        <v>602</v>
      </c>
      <c r="C57" t="s">
        <v>523</v>
      </c>
      <c r="D57" t="s">
        <v>268</v>
      </c>
      <c r="E57">
        <v>56.43</v>
      </c>
      <c r="G57">
        <v>7</v>
      </c>
    </row>
    <row r="58" spans="1:7" x14ac:dyDescent="0.3">
      <c r="A58" s="22" t="s">
        <v>603</v>
      </c>
      <c r="B58" s="22" t="s">
        <v>865</v>
      </c>
      <c r="C58" t="s">
        <v>523</v>
      </c>
      <c r="D58" t="s">
        <v>268</v>
      </c>
      <c r="E58">
        <v>82.65</v>
      </c>
      <c r="G58">
        <v>9</v>
      </c>
    </row>
    <row r="59" spans="1:7" x14ac:dyDescent="0.3">
      <c r="A59" s="22" t="s">
        <v>604</v>
      </c>
      <c r="B59" s="22" t="s">
        <v>866</v>
      </c>
      <c r="C59" t="s">
        <v>523</v>
      </c>
      <c r="D59" t="s">
        <v>268</v>
      </c>
      <c r="E59">
        <v>82.65</v>
      </c>
      <c r="G59">
        <v>4</v>
      </c>
    </row>
    <row r="60" spans="1:7" x14ac:dyDescent="0.3">
      <c r="A60" s="22" t="s">
        <v>605</v>
      </c>
      <c r="B60" t="s">
        <v>606</v>
      </c>
      <c r="C60" t="s">
        <v>523</v>
      </c>
      <c r="D60" t="s">
        <v>86</v>
      </c>
      <c r="E60">
        <v>985.53</v>
      </c>
      <c r="G60">
        <v>10</v>
      </c>
    </row>
    <row r="61" spans="1:7" x14ac:dyDescent="0.3">
      <c r="A61" s="22" t="s">
        <v>607</v>
      </c>
      <c r="B61" t="s">
        <v>608</v>
      </c>
      <c r="C61" t="s">
        <v>523</v>
      </c>
      <c r="D61" t="s">
        <v>268</v>
      </c>
      <c r="E61">
        <v>59.28</v>
      </c>
      <c r="G61">
        <v>10</v>
      </c>
    </row>
    <row r="62" spans="1:7" x14ac:dyDescent="0.3">
      <c r="A62">
        <v>3873</v>
      </c>
      <c r="B62" t="s">
        <v>609</v>
      </c>
      <c r="C62" t="s">
        <v>523</v>
      </c>
      <c r="D62" t="s">
        <v>268</v>
      </c>
      <c r="E62">
        <v>13774.84</v>
      </c>
      <c r="G62">
        <v>7</v>
      </c>
    </row>
    <row r="63" spans="1:7" x14ac:dyDescent="0.3">
      <c r="A63" s="22" t="s">
        <v>844</v>
      </c>
      <c r="B63" t="s">
        <v>329</v>
      </c>
      <c r="C63" t="s">
        <v>845</v>
      </c>
      <c r="D63" t="s">
        <v>268</v>
      </c>
      <c r="E63">
        <v>39.200000000000003</v>
      </c>
      <c r="G63">
        <v>79</v>
      </c>
    </row>
    <row r="64" spans="1:7" x14ac:dyDescent="0.3">
      <c r="A64" s="22" t="s">
        <v>846</v>
      </c>
      <c r="B64" t="s">
        <v>847</v>
      </c>
      <c r="D64" t="s">
        <v>268</v>
      </c>
      <c r="E64">
        <v>7.28</v>
      </c>
      <c r="G64">
        <v>114</v>
      </c>
    </row>
    <row r="65" spans="1:7" x14ac:dyDescent="0.3">
      <c r="A65" s="22" t="s">
        <v>848</v>
      </c>
      <c r="B65" t="s">
        <v>849</v>
      </c>
      <c r="D65" t="s">
        <v>268</v>
      </c>
      <c r="E65">
        <v>10.64</v>
      </c>
      <c r="G65">
        <v>96</v>
      </c>
    </row>
    <row r="66" spans="1:7" x14ac:dyDescent="0.3">
      <c r="A66" s="22" t="s">
        <v>850</v>
      </c>
      <c r="B66" t="s">
        <v>139</v>
      </c>
      <c r="C66" t="s">
        <v>523</v>
      </c>
      <c r="D66" t="s">
        <v>268</v>
      </c>
      <c r="E66">
        <v>131.94999999999999</v>
      </c>
      <c r="G66">
        <v>36</v>
      </c>
    </row>
    <row r="67" spans="1:7" x14ac:dyDescent="0.3">
      <c r="A67" s="22" t="s">
        <v>851</v>
      </c>
      <c r="B67" t="s">
        <v>259</v>
      </c>
      <c r="C67" t="s">
        <v>845</v>
      </c>
      <c r="D67" t="s">
        <v>268</v>
      </c>
      <c r="E67">
        <v>84.68</v>
      </c>
      <c r="G67">
        <v>56</v>
      </c>
    </row>
    <row r="68" spans="1:7" x14ac:dyDescent="0.3">
      <c r="A68">
        <v>3247</v>
      </c>
      <c r="B68" t="s">
        <v>852</v>
      </c>
      <c r="C68" t="s">
        <v>845</v>
      </c>
      <c r="D68" t="s">
        <v>268</v>
      </c>
      <c r="E68">
        <v>7.34</v>
      </c>
      <c r="G68">
        <v>280</v>
      </c>
    </row>
    <row r="69" spans="1:7" x14ac:dyDescent="0.3">
      <c r="A69">
        <v>3334</v>
      </c>
      <c r="B69" t="s">
        <v>853</v>
      </c>
      <c r="C69" t="s">
        <v>845</v>
      </c>
      <c r="D69" t="s">
        <v>268</v>
      </c>
      <c r="E69">
        <v>7.34</v>
      </c>
      <c r="G69">
        <v>112</v>
      </c>
    </row>
    <row r="70" spans="1:7" x14ac:dyDescent="0.3">
      <c r="A70" s="22" t="s">
        <v>854</v>
      </c>
      <c r="B70" t="s">
        <v>855</v>
      </c>
      <c r="C70" t="s">
        <v>845</v>
      </c>
      <c r="D70" t="s">
        <v>86</v>
      </c>
      <c r="E70">
        <v>826.98</v>
      </c>
      <c r="G70">
        <v>37</v>
      </c>
    </row>
    <row r="71" spans="1:7" x14ac:dyDescent="0.3">
      <c r="A71" s="22" t="s">
        <v>856</v>
      </c>
      <c r="B71" t="s">
        <v>857</v>
      </c>
      <c r="C71" t="s">
        <v>845</v>
      </c>
      <c r="D71" t="s">
        <v>268</v>
      </c>
      <c r="E71">
        <v>20.5</v>
      </c>
      <c r="G71">
        <v>105</v>
      </c>
    </row>
    <row r="72" spans="1:7" x14ac:dyDescent="0.3">
      <c r="A72">
        <v>3699</v>
      </c>
      <c r="B72" t="s">
        <v>858</v>
      </c>
      <c r="C72" t="s">
        <v>845</v>
      </c>
      <c r="D72" t="s">
        <v>268</v>
      </c>
      <c r="E72">
        <v>28</v>
      </c>
      <c r="G72">
        <v>80</v>
      </c>
    </row>
    <row r="73" spans="1:7" x14ac:dyDescent="0.3">
      <c r="A73" t="s">
        <v>859</v>
      </c>
      <c r="B73" t="s">
        <v>219</v>
      </c>
      <c r="C73" t="s">
        <v>860</v>
      </c>
      <c r="D73" t="s">
        <v>220</v>
      </c>
      <c r="E73">
        <v>4140</v>
      </c>
      <c r="G73">
        <v>21</v>
      </c>
    </row>
    <row r="74" spans="1:7" x14ac:dyDescent="0.3">
      <c r="A74" t="s">
        <v>861</v>
      </c>
      <c r="B74" t="s">
        <v>255</v>
      </c>
      <c r="C74" t="s">
        <v>860</v>
      </c>
      <c r="D74" t="s">
        <v>220</v>
      </c>
      <c r="E74">
        <v>4140</v>
      </c>
      <c r="G74">
        <v>0</v>
      </c>
    </row>
    <row r="75" spans="1:7" x14ac:dyDescent="0.3">
      <c r="A75" t="s">
        <v>73</v>
      </c>
      <c r="B75" t="s">
        <v>73</v>
      </c>
      <c r="C75" t="s">
        <v>860</v>
      </c>
      <c r="D75" t="s">
        <v>74</v>
      </c>
      <c r="E75">
        <v>395.83</v>
      </c>
      <c r="G75">
        <v>47</v>
      </c>
    </row>
    <row r="76" spans="1:7" x14ac:dyDescent="0.3">
      <c r="A76" t="s">
        <v>122</v>
      </c>
      <c r="B76" t="s">
        <v>122</v>
      </c>
      <c r="C76" t="s">
        <v>860</v>
      </c>
      <c r="D76" t="s">
        <v>74</v>
      </c>
      <c r="E76">
        <v>425</v>
      </c>
      <c r="G76">
        <v>60</v>
      </c>
    </row>
    <row r="77" spans="1:7" x14ac:dyDescent="0.3">
      <c r="A77" t="s">
        <v>628</v>
      </c>
      <c r="B77" t="s">
        <v>628</v>
      </c>
      <c r="C77" t="s">
        <v>860</v>
      </c>
      <c r="D77" t="s">
        <v>74</v>
      </c>
      <c r="E77">
        <v>300</v>
      </c>
      <c r="G77">
        <v>0</v>
      </c>
    </row>
    <row r="78" spans="1:7" x14ac:dyDescent="0.3">
      <c r="A78" t="s">
        <v>152</v>
      </c>
      <c r="B78" t="s">
        <v>152</v>
      </c>
      <c r="C78" t="s">
        <v>860</v>
      </c>
      <c r="D78" t="s">
        <v>74</v>
      </c>
      <c r="E78">
        <v>896.76</v>
      </c>
      <c r="G78">
        <v>12</v>
      </c>
    </row>
    <row r="79" spans="1:7" x14ac:dyDescent="0.3">
      <c r="A79" t="s">
        <v>862</v>
      </c>
      <c r="B79" t="s">
        <v>862</v>
      </c>
      <c r="C79" t="s">
        <v>860</v>
      </c>
      <c r="D79" t="s">
        <v>74</v>
      </c>
      <c r="E79">
        <v>583.33000000000004</v>
      </c>
      <c r="G79">
        <v>6</v>
      </c>
    </row>
    <row r="80" spans="1:7" x14ac:dyDescent="0.3">
      <c r="A80" t="s">
        <v>107</v>
      </c>
      <c r="B80" t="s">
        <v>107</v>
      </c>
      <c r="C80" t="s">
        <v>860</v>
      </c>
      <c r="D80" t="s">
        <v>74</v>
      </c>
      <c r="E80">
        <v>583.33000000000004</v>
      </c>
      <c r="G80">
        <v>14</v>
      </c>
    </row>
    <row r="81" spans="1:7" x14ac:dyDescent="0.3">
      <c r="A81" t="s">
        <v>383</v>
      </c>
      <c r="B81" t="s">
        <v>383</v>
      </c>
      <c r="C81" t="s">
        <v>860</v>
      </c>
      <c r="D81" t="s">
        <v>74</v>
      </c>
      <c r="E81">
        <v>1341.76</v>
      </c>
      <c r="G81">
        <v>0</v>
      </c>
    </row>
    <row r="82" spans="1:7" x14ac:dyDescent="0.3">
      <c r="A82" t="s">
        <v>869</v>
      </c>
      <c r="B82" t="s">
        <v>293</v>
      </c>
      <c r="C82" t="s">
        <v>870</v>
      </c>
      <c r="D82" t="s">
        <v>77</v>
      </c>
      <c r="E82">
        <v>855.04</v>
      </c>
      <c r="G82">
        <v>0</v>
      </c>
    </row>
    <row r="83" spans="1:7" x14ac:dyDescent="0.3">
      <c r="A83" t="s">
        <v>625</v>
      </c>
      <c r="B83" t="s">
        <v>625</v>
      </c>
      <c r="C83" t="s">
        <v>860</v>
      </c>
      <c r="D83" t="s">
        <v>626</v>
      </c>
      <c r="E83">
        <v>2110</v>
      </c>
      <c r="G83">
        <v>8</v>
      </c>
    </row>
    <row r="84" spans="1:7" x14ac:dyDescent="0.3">
      <c r="A84" t="s">
        <v>880</v>
      </c>
      <c r="B84" t="s">
        <v>76</v>
      </c>
      <c r="C84" t="s">
        <v>845</v>
      </c>
      <c r="D84" t="s">
        <v>100</v>
      </c>
      <c r="E84">
        <v>3731.54</v>
      </c>
      <c r="G84">
        <v>100</v>
      </c>
    </row>
  </sheetData>
  <autoFilter ref="A1:M83" xr:uid="{00000000-0001-0000-0300-000000000000}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selection activeCell="A120" sqref="A120:XFD120"/>
    </sheetView>
  </sheetViews>
  <sheetFormatPr defaultColWidth="8.77734375" defaultRowHeight="14.4" x14ac:dyDescent="0.3"/>
  <cols>
    <col min="1" max="1" width="30" customWidth="1"/>
    <col min="2" max="3" width="40" customWidth="1"/>
    <col min="4" max="4" width="20" customWidth="1"/>
    <col min="5" max="5" width="25" customWidth="1"/>
    <col min="6" max="6" width="20" customWidth="1"/>
  </cols>
  <sheetData>
    <row r="1" spans="1:6" x14ac:dyDescent="0.3">
      <c r="A1" t="s">
        <v>61</v>
      </c>
      <c r="B1" t="s">
        <v>31</v>
      </c>
      <c r="C1" t="s">
        <v>70</v>
      </c>
      <c r="D1" t="s">
        <v>46</v>
      </c>
      <c r="E1" t="s">
        <v>28</v>
      </c>
      <c r="F1" t="s">
        <v>48</v>
      </c>
    </row>
    <row r="2" spans="1:6" x14ac:dyDescent="0.3">
      <c r="A2" s="11" t="s">
        <v>303</v>
      </c>
    </row>
    <row r="3" spans="1:6" x14ac:dyDescent="0.3">
      <c r="A3" s="11" t="s">
        <v>399</v>
      </c>
    </row>
    <row r="4" spans="1:6" x14ac:dyDescent="0.3">
      <c r="A4" s="11" t="s">
        <v>203</v>
      </c>
    </row>
    <row r="5" spans="1:6" x14ac:dyDescent="0.3">
      <c r="A5" s="11" t="s">
        <v>137</v>
      </c>
    </row>
    <row r="6" spans="1:6" x14ac:dyDescent="0.3">
      <c r="A6" s="11" t="s">
        <v>170</v>
      </c>
    </row>
    <row r="7" spans="1:6" x14ac:dyDescent="0.3">
      <c r="A7" s="11" t="s">
        <v>128</v>
      </c>
    </row>
    <row r="8" spans="1:6" x14ac:dyDescent="0.3">
      <c r="A8" s="11" t="s">
        <v>240</v>
      </c>
    </row>
    <row r="9" spans="1:6" x14ac:dyDescent="0.3">
      <c r="A9" s="11" t="s">
        <v>333</v>
      </c>
    </row>
    <row r="10" spans="1:6" x14ac:dyDescent="0.3">
      <c r="A10" s="11" t="s">
        <v>84</v>
      </c>
    </row>
    <row r="11" spans="1:6" x14ac:dyDescent="0.3">
      <c r="A11" s="11" t="s">
        <v>361</v>
      </c>
    </row>
    <row r="12" spans="1:6" x14ac:dyDescent="0.3">
      <c r="A12" s="11" t="s">
        <v>403</v>
      </c>
    </row>
    <row r="13" spans="1:6" x14ac:dyDescent="0.3">
      <c r="A13" s="11" t="s">
        <v>250</v>
      </c>
    </row>
    <row r="14" spans="1:6" x14ac:dyDescent="0.3">
      <c r="A14" s="11" t="s">
        <v>291</v>
      </c>
    </row>
    <row r="15" spans="1:6" x14ac:dyDescent="0.3">
      <c r="A15" s="11" t="s">
        <v>326</v>
      </c>
    </row>
    <row r="16" spans="1:6" x14ac:dyDescent="0.3">
      <c r="A16" s="11" t="s">
        <v>125</v>
      </c>
    </row>
    <row r="17" spans="1:1" x14ac:dyDescent="0.3">
      <c r="A17" s="11" t="s">
        <v>413</v>
      </c>
    </row>
    <row r="18" spans="1:1" x14ac:dyDescent="0.3">
      <c r="A18" s="11" t="s">
        <v>106</v>
      </c>
    </row>
    <row r="19" spans="1:1" x14ac:dyDescent="0.3">
      <c r="A19" s="11" t="s">
        <v>161</v>
      </c>
    </row>
    <row r="20" spans="1:1" x14ac:dyDescent="0.3">
      <c r="A20" s="11" t="s">
        <v>254</v>
      </c>
    </row>
    <row r="21" spans="1:1" x14ac:dyDescent="0.3">
      <c r="A21" s="11" t="s">
        <v>352</v>
      </c>
    </row>
    <row r="22" spans="1:1" x14ac:dyDescent="0.3">
      <c r="A22" s="11" t="s">
        <v>224</v>
      </c>
    </row>
    <row r="23" spans="1:1" x14ac:dyDescent="0.3">
      <c r="A23" s="11" t="s">
        <v>144</v>
      </c>
    </row>
    <row r="24" spans="1:1" x14ac:dyDescent="0.3">
      <c r="A24" s="11" t="s">
        <v>258</v>
      </c>
    </row>
    <row r="25" spans="1:1" x14ac:dyDescent="0.3">
      <c r="A25" s="11" t="s">
        <v>178</v>
      </c>
    </row>
    <row r="26" spans="1:1" x14ac:dyDescent="0.3">
      <c r="A26" s="11" t="s">
        <v>310</v>
      </c>
    </row>
    <row r="27" spans="1:1" x14ac:dyDescent="0.3">
      <c r="A27" s="11" t="s">
        <v>90</v>
      </c>
    </row>
    <row r="28" spans="1:1" x14ac:dyDescent="0.3">
      <c r="A28" s="11" t="s">
        <v>118</v>
      </c>
    </row>
    <row r="29" spans="1:1" x14ac:dyDescent="0.3">
      <c r="A29" s="11" t="s">
        <v>193</v>
      </c>
    </row>
    <row r="30" spans="1:1" x14ac:dyDescent="0.3">
      <c r="A30" s="11" t="s">
        <v>339</v>
      </c>
    </row>
    <row r="31" spans="1:1" x14ac:dyDescent="0.3">
      <c r="A31" s="11" t="s">
        <v>180</v>
      </c>
    </row>
    <row r="32" spans="1:1" x14ac:dyDescent="0.3">
      <c r="A32" s="11" t="s">
        <v>199</v>
      </c>
    </row>
    <row r="33" spans="1:1" x14ac:dyDescent="0.3">
      <c r="A33" s="11" t="s">
        <v>406</v>
      </c>
    </row>
    <row r="34" spans="1:1" x14ac:dyDescent="0.3">
      <c r="A34" s="11" t="s">
        <v>249</v>
      </c>
    </row>
    <row r="35" spans="1:1" x14ac:dyDescent="0.3">
      <c r="A35" s="11" t="s">
        <v>246</v>
      </c>
    </row>
    <row r="36" spans="1:1" x14ac:dyDescent="0.3">
      <c r="A36" s="11" t="s">
        <v>285</v>
      </c>
    </row>
    <row r="37" spans="1:1" x14ac:dyDescent="0.3">
      <c r="A37" s="11" t="s">
        <v>398</v>
      </c>
    </row>
    <row r="38" spans="1:1" x14ac:dyDescent="0.3">
      <c r="A38" s="11" t="s">
        <v>218</v>
      </c>
    </row>
    <row r="39" spans="1:1" x14ac:dyDescent="0.3">
      <c r="A39" s="11" t="s">
        <v>95</v>
      </c>
    </row>
    <row r="40" spans="1:1" x14ac:dyDescent="0.3">
      <c r="A40" s="11" t="s">
        <v>214</v>
      </c>
    </row>
    <row r="41" spans="1:1" x14ac:dyDescent="0.3">
      <c r="A41" s="11" t="s">
        <v>72</v>
      </c>
    </row>
    <row r="42" spans="1:1" x14ac:dyDescent="0.3">
      <c r="A42" s="11" t="s">
        <v>358</v>
      </c>
    </row>
    <row r="43" spans="1:1" x14ac:dyDescent="0.3">
      <c r="A43" s="11" t="s">
        <v>228</v>
      </c>
    </row>
    <row r="44" spans="1:1" x14ac:dyDescent="0.3">
      <c r="A44" s="11" t="s">
        <v>364</v>
      </c>
    </row>
    <row r="45" spans="1:1" x14ac:dyDescent="0.3">
      <c r="A45" s="11" t="s">
        <v>348</v>
      </c>
    </row>
    <row r="46" spans="1:1" x14ac:dyDescent="0.3">
      <c r="A46" s="11" t="s">
        <v>376</v>
      </c>
    </row>
    <row r="47" spans="1:1" x14ac:dyDescent="0.3">
      <c r="A47" s="11" t="s">
        <v>281</v>
      </c>
    </row>
    <row r="48" spans="1:1" x14ac:dyDescent="0.3">
      <c r="A48" s="11" t="s">
        <v>269</v>
      </c>
    </row>
    <row r="49" spans="1:1" x14ac:dyDescent="0.3">
      <c r="A49" s="11" t="s">
        <v>133</v>
      </c>
    </row>
    <row r="50" spans="1:1" x14ac:dyDescent="0.3">
      <c r="A50" s="11" t="s">
        <v>408</v>
      </c>
    </row>
    <row r="51" spans="1:1" x14ac:dyDescent="0.3">
      <c r="A51" s="11" t="s">
        <v>140</v>
      </c>
    </row>
    <row r="52" spans="1:1" x14ac:dyDescent="0.3">
      <c r="A52" s="11" t="s">
        <v>81</v>
      </c>
    </row>
    <row r="53" spans="1:1" x14ac:dyDescent="0.3">
      <c r="A53" s="11" t="s">
        <v>237</v>
      </c>
    </row>
    <row r="54" spans="1:1" x14ac:dyDescent="0.3">
      <c r="A54" s="11" t="s">
        <v>99</v>
      </c>
    </row>
    <row r="55" spans="1:1" x14ac:dyDescent="0.3">
      <c r="A55" s="11" t="s">
        <v>404</v>
      </c>
    </row>
    <row r="56" spans="1:1" x14ac:dyDescent="0.3">
      <c r="A56" s="11" t="s">
        <v>196</v>
      </c>
    </row>
    <row r="57" spans="1:1" x14ac:dyDescent="0.3">
      <c r="A57" s="11" t="s">
        <v>373</v>
      </c>
    </row>
    <row r="58" spans="1:1" x14ac:dyDescent="0.3">
      <c r="A58" s="11" t="s">
        <v>423</v>
      </c>
    </row>
    <row r="59" spans="1:1" x14ac:dyDescent="0.3">
      <c r="A59" s="11" t="s">
        <v>419</v>
      </c>
    </row>
    <row r="60" spans="1:1" x14ac:dyDescent="0.3">
      <c r="A60" s="11" t="s">
        <v>429</v>
      </c>
    </row>
    <row r="61" spans="1:1" x14ac:dyDescent="0.3">
      <c r="A61" s="11" t="s">
        <v>222</v>
      </c>
    </row>
    <row r="62" spans="1:1" x14ac:dyDescent="0.3">
      <c r="A62" s="11" t="s">
        <v>317</v>
      </c>
    </row>
    <row r="63" spans="1:1" x14ac:dyDescent="0.3">
      <c r="A63" s="11" t="s">
        <v>379</v>
      </c>
    </row>
    <row r="64" spans="1:1" x14ac:dyDescent="0.3">
      <c r="A64" s="11" t="s">
        <v>251</v>
      </c>
    </row>
    <row r="65" spans="1:1" x14ac:dyDescent="0.3">
      <c r="A65" s="11" t="s">
        <v>426</v>
      </c>
    </row>
    <row r="66" spans="1:1" x14ac:dyDescent="0.3">
      <c r="A66" s="11" t="s">
        <v>262</v>
      </c>
    </row>
    <row r="67" spans="1:1" x14ac:dyDescent="0.3">
      <c r="A67" s="11" t="s">
        <v>288</v>
      </c>
    </row>
    <row r="68" spans="1:1" x14ac:dyDescent="0.3">
      <c r="A68" s="11" t="s">
        <v>278</v>
      </c>
    </row>
    <row r="69" spans="1:1" x14ac:dyDescent="0.3">
      <c r="A69" s="11" t="s">
        <v>292</v>
      </c>
    </row>
    <row r="70" spans="1:1" x14ac:dyDescent="0.3">
      <c r="A70" s="11" t="s">
        <v>167</v>
      </c>
    </row>
    <row r="71" spans="1:1" x14ac:dyDescent="0.3">
      <c r="A71" s="11" t="s">
        <v>243</v>
      </c>
    </row>
    <row r="72" spans="1:1" x14ac:dyDescent="0.3">
      <c r="A72" s="11" t="s">
        <v>409</v>
      </c>
    </row>
    <row r="73" spans="1:1" x14ac:dyDescent="0.3">
      <c r="A73" s="11" t="s">
        <v>158</v>
      </c>
    </row>
    <row r="74" spans="1:1" x14ac:dyDescent="0.3">
      <c r="A74" s="11" t="s">
        <v>304</v>
      </c>
    </row>
    <row r="75" spans="1:1" x14ac:dyDescent="0.3">
      <c r="A75" s="11" t="s">
        <v>110</v>
      </c>
    </row>
    <row r="76" spans="1:1" x14ac:dyDescent="0.3">
      <c r="A76" s="11" t="s">
        <v>395</v>
      </c>
    </row>
    <row r="77" spans="1:1" x14ac:dyDescent="0.3">
      <c r="A77" s="11" t="s">
        <v>211</v>
      </c>
    </row>
    <row r="78" spans="1:1" x14ac:dyDescent="0.3">
      <c r="A78" s="11" t="s">
        <v>272</v>
      </c>
    </row>
    <row r="79" spans="1:1" x14ac:dyDescent="0.3">
      <c r="A79" s="11" t="s">
        <v>336</v>
      </c>
    </row>
    <row r="80" spans="1:1" x14ac:dyDescent="0.3">
      <c r="A80" s="11" t="s">
        <v>342</v>
      </c>
    </row>
    <row r="81" spans="1:1" x14ac:dyDescent="0.3">
      <c r="A81" s="11" t="s">
        <v>103</v>
      </c>
    </row>
    <row r="82" spans="1:1" x14ac:dyDescent="0.3">
      <c r="A82" s="11" t="s">
        <v>369</v>
      </c>
    </row>
    <row r="83" spans="1:1" x14ac:dyDescent="0.3">
      <c r="A83" s="11" t="s">
        <v>233</v>
      </c>
    </row>
    <row r="84" spans="1:1" x14ac:dyDescent="0.3">
      <c r="A84" s="11" t="s">
        <v>355</v>
      </c>
    </row>
    <row r="85" spans="1:1" x14ac:dyDescent="0.3">
      <c r="A85" s="11" t="s">
        <v>117</v>
      </c>
    </row>
    <row r="86" spans="1:1" x14ac:dyDescent="0.3">
      <c r="A86" s="11" t="s">
        <v>200</v>
      </c>
    </row>
    <row r="87" spans="1:1" x14ac:dyDescent="0.3">
      <c r="A87" s="11" t="s">
        <v>208</v>
      </c>
    </row>
    <row r="88" spans="1:1" x14ac:dyDescent="0.3">
      <c r="A88" s="11" t="s">
        <v>114</v>
      </c>
    </row>
    <row r="89" spans="1:1" x14ac:dyDescent="0.3">
      <c r="A89" s="11" t="s">
        <v>351</v>
      </c>
    </row>
    <row r="90" spans="1:1" x14ac:dyDescent="0.3">
      <c r="A90" s="11" t="s">
        <v>185</v>
      </c>
    </row>
    <row r="91" spans="1:1" x14ac:dyDescent="0.3">
      <c r="A91" s="11" t="s">
        <v>151</v>
      </c>
    </row>
    <row r="92" spans="1:1" x14ac:dyDescent="0.3">
      <c r="A92" s="11" t="s">
        <v>418</v>
      </c>
    </row>
    <row r="93" spans="1:1" x14ac:dyDescent="0.3">
      <c r="A93" s="11" t="s">
        <v>308</v>
      </c>
    </row>
    <row r="94" spans="1:1" x14ac:dyDescent="0.3">
      <c r="A94" s="11" t="s">
        <v>155</v>
      </c>
    </row>
    <row r="95" spans="1:1" x14ac:dyDescent="0.3">
      <c r="A95" s="11" t="s">
        <v>190</v>
      </c>
    </row>
    <row r="96" spans="1:1" x14ac:dyDescent="0.3">
      <c r="A96" s="11" t="s">
        <v>164</v>
      </c>
    </row>
    <row r="97" spans="1:1" x14ac:dyDescent="0.3">
      <c r="A97" s="11" t="s">
        <v>300</v>
      </c>
    </row>
    <row r="98" spans="1:1" x14ac:dyDescent="0.3">
      <c r="A98" s="11" t="s">
        <v>50</v>
      </c>
    </row>
    <row r="99" spans="1:1" x14ac:dyDescent="0.3">
      <c r="A99" s="11" t="s">
        <v>330</v>
      </c>
    </row>
    <row r="100" spans="1:1" x14ac:dyDescent="0.3">
      <c r="A100" s="11" t="s">
        <v>232</v>
      </c>
    </row>
    <row r="101" spans="1:1" x14ac:dyDescent="0.3">
      <c r="A101" s="11" t="s">
        <v>297</v>
      </c>
    </row>
    <row r="102" spans="1:1" x14ac:dyDescent="0.3">
      <c r="A102" s="11" t="s">
        <v>176</v>
      </c>
    </row>
    <row r="103" spans="1:1" x14ac:dyDescent="0.3">
      <c r="A103" s="11" t="s">
        <v>225</v>
      </c>
    </row>
    <row r="104" spans="1:1" x14ac:dyDescent="0.3">
      <c r="A104" s="11" t="s">
        <v>92</v>
      </c>
    </row>
    <row r="105" spans="1:1" x14ac:dyDescent="0.3">
      <c r="A105" s="11" t="s">
        <v>313</v>
      </c>
    </row>
    <row r="106" spans="1:1" x14ac:dyDescent="0.3">
      <c r="A106" s="11" t="s">
        <v>210</v>
      </c>
    </row>
    <row r="107" spans="1:1" x14ac:dyDescent="0.3">
      <c r="A107" s="11" t="s">
        <v>265</v>
      </c>
    </row>
    <row r="108" spans="1:1" x14ac:dyDescent="0.3">
      <c r="A108" s="11" t="s">
        <v>146</v>
      </c>
    </row>
    <row r="109" spans="1:1" x14ac:dyDescent="0.3">
      <c r="A109" s="11" t="s">
        <v>387</v>
      </c>
    </row>
    <row r="110" spans="1:1" x14ac:dyDescent="0.3">
      <c r="A110" s="11" t="s">
        <v>345</v>
      </c>
    </row>
    <row r="111" spans="1:1" x14ac:dyDescent="0.3">
      <c r="A111" s="11" t="s">
        <v>323</v>
      </c>
    </row>
    <row r="112" spans="1:1" x14ac:dyDescent="0.3">
      <c r="A112" s="11" t="s">
        <v>382</v>
      </c>
    </row>
    <row r="113" spans="1:1" x14ac:dyDescent="0.3">
      <c r="A113" s="11" t="s">
        <v>284</v>
      </c>
    </row>
    <row r="114" spans="1:1" x14ac:dyDescent="0.3">
      <c r="A114" s="11" t="s">
        <v>75</v>
      </c>
    </row>
    <row r="115" spans="1:1" x14ac:dyDescent="0.3">
      <c r="A115" s="11" t="s">
        <v>320</v>
      </c>
    </row>
    <row r="116" spans="1:1" x14ac:dyDescent="0.3">
      <c r="A116" s="11" t="s">
        <v>276</v>
      </c>
    </row>
    <row r="117" spans="1:1" x14ac:dyDescent="0.3">
      <c r="A117" s="11" t="s">
        <v>294</v>
      </c>
    </row>
    <row r="118" spans="1:1" x14ac:dyDescent="0.3">
      <c r="A118" s="11" t="s">
        <v>227</v>
      </c>
    </row>
    <row r="119" spans="1:1" x14ac:dyDescent="0.3">
      <c r="A119" s="11" t="s">
        <v>121</v>
      </c>
    </row>
    <row r="120" spans="1:1" x14ac:dyDescent="0.3">
      <c r="A120" s="11" t="s">
        <v>173</v>
      </c>
    </row>
  </sheetData>
  <sortState xmlns:xlrd2="http://schemas.microsoft.com/office/spreadsheetml/2017/richdata2" ref="A2:F120">
    <sortCondition ref="A1:A120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FINANCIAL STATEMENT</vt:lpstr>
      <vt:lpstr>SALES 2026</vt:lpstr>
      <vt:lpstr>SALES APRIL 2026</vt:lpstr>
      <vt:lpstr>MARCH SALES</vt:lpstr>
      <vt:lpstr>SALES FEB 2026</vt:lpstr>
      <vt:lpstr>SALES JAN 2026</vt:lpstr>
      <vt:lpstr>PURCHASES  2026</vt:lpstr>
      <vt:lpstr>PURCHASES APRIL 2026</vt:lpstr>
      <vt:lpstr>PURCHASES MARCH 2026</vt:lpstr>
      <vt:lpstr>PURCHASES FEB 2026</vt:lpstr>
      <vt:lpstr>PURCHASES JAN 2026</vt:lpstr>
      <vt:lpstr>INVENTORY APRIL 30 2026</vt:lpstr>
      <vt:lpstr>CUSTOMERS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2026-05-14T08:02:46Z</dcterms:created>
  <dcterms:modified xsi:type="dcterms:W3CDTF">2026-05-25T12:29:33Z</dcterms:modified>
  <cp:category/>
</cp:coreProperties>
</file>